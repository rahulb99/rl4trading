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ng\TAMU\Classes\DEEP REINFORCEMENT LEARNING\Assignments\rl4trading\Analysis\"/>
    </mc:Choice>
  </mc:AlternateContent>
  <xr:revisionPtr revIDLastSave="0" documentId="13_ncr:1_{6B6602D2-24A4-4898-82B8-0818F434B6C0}" xr6:coauthVersionLast="47" xr6:coauthVersionMax="47" xr10:uidLastSave="{00000000-0000-0000-0000-000000000000}"/>
  <bookViews>
    <workbookView xWindow="19095" yWindow="0" windowWidth="19410" windowHeight="20985" activeTab="1" xr2:uid="{0EA82F2B-BFF2-498C-BEF1-B4E1A7837EA1}"/>
  </bookViews>
  <sheets>
    <sheet name="Portfolio" sheetId="1" r:id="rId1"/>
    <sheet name="Sharpie" sheetId="5" r:id="rId2"/>
    <sheet name="Sharpie1" sheetId="6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2" i="5"/>
  <c r="E3" i="6"/>
  <c r="E4" i="6"/>
  <c r="E5" i="6"/>
  <c r="E6" i="6"/>
  <c r="E7" i="6"/>
  <c r="E2" i="6"/>
  <c r="B6" i="6"/>
  <c r="B5" i="6"/>
  <c r="B3" i="6"/>
  <c r="B2" i="6"/>
  <c r="B7" i="6"/>
  <c r="B4" i="6"/>
</calcChain>
</file>

<file path=xl/sharedStrings.xml><?xml version="1.0" encoding="utf-8"?>
<sst xmlns="http://schemas.openxmlformats.org/spreadsheetml/2006/main" count="59" uniqueCount="20">
  <si>
    <t>Time_Step</t>
  </si>
  <si>
    <t>Buy_n_Hold</t>
  </si>
  <si>
    <t>DDQN</t>
  </si>
  <si>
    <t>DQN</t>
  </si>
  <si>
    <t>DDPG</t>
  </si>
  <si>
    <t>REINFORCE</t>
  </si>
  <si>
    <t>A2C</t>
  </si>
  <si>
    <t>MDA2C</t>
  </si>
  <si>
    <t>MDREINFORCE</t>
  </si>
  <si>
    <t>Model</t>
  </si>
  <si>
    <t>Sum of Sharpe_Ratio</t>
  </si>
  <si>
    <t>Column Labels</t>
  </si>
  <si>
    <t>Grand Total</t>
  </si>
  <si>
    <t>Sum of Total_Return_Pct</t>
  </si>
  <si>
    <t>Sum of Total_Return_Rate</t>
  </si>
  <si>
    <t>Final Return Percentage</t>
  </si>
  <si>
    <t>Sharpe Ratio</t>
  </si>
  <si>
    <t>Sharpie Ratio</t>
  </si>
  <si>
    <t>Date</t>
  </si>
  <si>
    <t>Final 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</si>
</sst>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 </a:t>
            </a:r>
            <a:r>
              <a:rPr lang="en-US" baseline="0"/>
              <a:t>Stock Trading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Portfolio!$C$1</c:f>
              <c:strCache>
                <c:ptCount val="1"/>
                <c:pt idx="0">
                  <c:v>Buy_n_Hold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Portfolio!$C$2:$C$50</c:f>
              <c:numCache>
                <c:formatCode>General</c:formatCode>
                <c:ptCount val="49"/>
                <c:pt idx="0">
                  <c:v>102600.375</c:v>
                </c:pt>
                <c:pt idx="1">
                  <c:v>103005.72</c:v>
                </c:pt>
                <c:pt idx="2">
                  <c:v>103434.15</c:v>
                </c:pt>
                <c:pt idx="3">
                  <c:v>103456.806</c:v>
                </c:pt>
                <c:pt idx="4">
                  <c:v>103921.394</c:v>
                </c:pt>
                <c:pt idx="5">
                  <c:v>102465.27499999999</c:v>
                </c:pt>
                <c:pt idx="6">
                  <c:v>101371.7</c:v>
                </c:pt>
                <c:pt idx="7">
                  <c:v>103592.39</c:v>
                </c:pt>
                <c:pt idx="8">
                  <c:v>104998.06</c:v>
                </c:pt>
                <c:pt idx="9">
                  <c:v>104846.375</c:v>
                </c:pt>
                <c:pt idx="10">
                  <c:v>104898.56</c:v>
                </c:pt>
                <c:pt idx="11">
                  <c:v>105719.38</c:v>
                </c:pt>
                <c:pt idx="12">
                  <c:v>105060.42</c:v>
                </c:pt>
                <c:pt idx="13">
                  <c:v>106250.75</c:v>
                </c:pt>
                <c:pt idx="14">
                  <c:v>108028.62</c:v>
                </c:pt>
                <c:pt idx="15">
                  <c:v>110134.9</c:v>
                </c:pt>
                <c:pt idx="16">
                  <c:v>110743.24</c:v>
                </c:pt>
                <c:pt idx="17">
                  <c:v>110302.34</c:v>
                </c:pt>
                <c:pt idx="18">
                  <c:v>110512.46</c:v>
                </c:pt>
                <c:pt idx="19">
                  <c:v>111884.15</c:v>
                </c:pt>
                <c:pt idx="20">
                  <c:v>112737.39</c:v>
                </c:pt>
                <c:pt idx="21">
                  <c:v>110992.22</c:v>
                </c:pt>
                <c:pt idx="22">
                  <c:v>111266.4</c:v>
                </c:pt>
                <c:pt idx="23">
                  <c:v>110204.2</c:v>
                </c:pt>
                <c:pt idx="24">
                  <c:v>111098.88</c:v>
                </c:pt>
                <c:pt idx="25">
                  <c:v>111515.46</c:v>
                </c:pt>
                <c:pt idx="26">
                  <c:v>111666.85</c:v>
                </c:pt>
                <c:pt idx="27">
                  <c:v>112347.98</c:v>
                </c:pt>
                <c:pt idx="28">
                  <c:v>111788.9</c:v>
                </c:pt>
                <c:pt idx="29">
                  <c:v>110982.06</c:v>
                </c:pt>
                <c:pt idx="30">
                  <c:v>112642.55</c:v>
                </c:pt>
                <c:pt idx="31">
                  <c:v>111231.12</c:v>
                </c:pt>
                <c:pt idx="32">
                  <c:v>112170.21</c:v>
                </c:pt>
                <c:pt idx="33">
                  <c:v>112231.48</c:v>
                </c:pt>
                <c:pt idx="34">
                  <c:v>107965.45</c:v>
                </c:pt>
                <c:pt idx="35">
                  <c:v>110608.1</c:v>
                </c:pt>
                <c:pt idx="36">
                  <c:v>109347.26</c:v>
                </c:pt>
                <c:pt idx="37">
                  <c:v>110209.22</c:v>
                </c:pt>
                <c:pt idx="38">
                  <c:v>109767.64</c:v>
                </c:pt>
                <c:pt idx="39">
                  <c:v>110850.76</c:v>
                </c:pt>
                <c:pt idx="40">
                  <c:v>112637.75999999999</c:v>
                </c:pt>
                <c:pt idx="41">
                  <c:v>112302.25</c:v>
                </c:pt>
                <c:pt idx="42">
                  <c:v>111703.74</c:v>
                </c:pt>
                <c:pt idx="43">
                  <c:v>112689.31</c:v>
                </c:pt>
                <c:pt idx="44">
                  <c:v>113410.04</c:v>
                </c:pt>
                <c:pt idx="45">
                  <c:v>116364.1</c:v>
                </c:pt>
                <c:pt idx="46">
                  <c:v>117846.69</c:v>
                </c:pt>
                <c:pt idx="47">
                  <c:v>118990.22</c:v>
                </c:pt>
                <c:pt idx="48">
                  <c:v>115724.4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7-451D-B529-DAACCAF7A72D}"/>
            </c:ext>
          </c:extLst>
        </c:ser>
        <c:ser>
          <c:idx val="1"/>
          <c:order val="1"/>
          <c:tx>
            <c:strRef>
              <c:f>Portfolio!$D$1</c:f>
              <c:strCache>
                <c:ptCount val="1"/>
                <c:pt idx="0">
                  <c:v>DDQN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Portfolio!$D$2:$D$50</c:f>
              <c:numCache>
                <c:formatCode>General</c:formatCode>
                <c:ptCount val="49"/>
                <c:pt idx="0">
                  <c:v>100000.30100000001</c:v>
                </c:pt>
                <c:pt idx="1">
                  <c:v>100000.66499999999</c:v>
                </c:pt>
                <c:pt idx="2">
                  <c:v>100001.25290000001</c:v>
                </c:pt>
                <c:pt idx="3">
                  <c:v>100001.18489999999</c:v>
                </c:pt>
                <c:pt idx="4">
                  <c:v>100000.47</c:v>
                </c:pt>
                <c:pt idx="5">
                  <c:v>99996.876170000003</c:v>
                </c:pt>
                <c:pt idx="6">
                  <c:v>99994.496310000002</c:v>
                </c:pt>
                <c:pt idx="7">
                  <c:v>99994.368319999994</c:v>
                </c:pt>
                <c:pt idx="8">
                  <c:v>99995.304269999993</c:v>
                </c:pt>
                <c:pt idx="9">
                  <c:v>99990.664529999995</c:v>
                </c:pt>
                <c:pt idx="10">
                  <c:v>99992.083440000002</c:v>
                </c:pt>
                <c:pt idx="11">
                  <c:v>99995.023270000005</c:v>
                </c:pt>
                <c:pt idx="12">
                  <c:v>100003.5638</c:v>
                </c:pt>
                <c:pt idx="13">
                  <c:v>100003.3538</c:v>
                </c:pt>
                <c:pt idx="14">
                  <c:v>100004.3288</c:v>
                </c:pt>
                <c:pt idx="15">
                  <c:v>100004.21679999999</c:v>
                </c:pt>
                <c:pt idx="16">
                  <c:v>99999.337809999997</c:v>
                </c:pt>
                <c:pt idx="17">
                  <c:v>99991.075779999999</c:v>
                </c:pt>
                <c:pt idx="18">
                  <c:v>100002.3808</c:v>
                </c:pt>
                <c:pt idx="19">
                  <c:v>100003.2408</c:v>
                </c:pt>
                <c:pt idx="20">
                  <c:v>100017.81479999999</c:v>
                </c:pt>
                <c:pt idx="21">
                  <c:v>100006.4188</c:v>
                </c:pt>
                <c:pt idx="22">
                  <c:v>100003.06080000001</c:v>
                </c:pt>
                <c:pt idx="23">
                  <c:v>100004.78879999999</c:v>
                </c:pt>
                <c:pt idx="24">
                  <c:v>100006.03879999999</c:v>
                </c:pt>
                <c:pt idx="25">
                  <c:v>100015.5548</c:v>
                </c:pt>
                <c:pt idx="26">
                  <c:v>100028.32580000001</c:v>
                </c:pt>
                <c:pt idx="27">
                  <c:v>100030.1738</c:v>
                </c:pt>
                <c:pt idx="28">
                  <c:v>100034.95879999999</c:v>
                </c:pt>
                <c:pt idx="29">
                  <c:v>100031.1488</c:v>
                </c:pt>
                <c:pt idx="30">
                  <c:v>100024.70080000001</c:v>
                </c:pt>
                <c:pt idx="31">
                  <c:v>100023.1008</c:v>
                </c:pt>
                <c:pt idx="32">
                  <c:v>100036.5318</c:v>
                </c:pt>
                <c:pt idx="33">
                  <c:v>100048.29580000001</c:v>
                </c:pt>
                <c:pt idx="34">
                  <c:v>100015.36079999999</c:v>
                </c:pt>
                <c:pt idx="35">
                  <c:v>100033.9368</c:v>
                </c:pt>
                <c:pt idx="36">
                  <c:v>100003.2638</c:v>
                </c:pt>
                <c:pt idx="37">
                  <c:v>100002.50380000001</c:v>
                </c:pt>
                <c:pt idx="38">
                  <c:v>100010.2258</c:v>
                </c:pt>
                <c:pt idx="39">
                  <c:v>100015.8658</c:v>
                </c:pt>
                <c:pt idx="40">
                  <c:v>100013.4878</c:v>
                </c:pt>
                <c:pt idx="41">
                  <c:v>100007.2718</c:v>
                </c:pt>
                <c:pt idx="42">
                  <c:v>100003.4878</c:v>
                </c:pt>
                <c:pt idx="43">
                  <c:v>100011.7598</c:v>
                </c:pt>
                <c:pt idx="44">
                  <c:v>100030.2098</c:v>
                </c:pt>
                <c:pt idx="45">
                  <c:v>100054.2678</c:v>
                </c:pt>
                <c:pt idx="46">
                  <c:v>100099.1058</c:v>
                </c:pt>
                <c:pt idx="47">
                  <c:v>100127.9538</c:v>
                </c:pt>
                <c:pt idx="48">
                  <c:v>100127.9538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037-451D-B529-DAACCAF7A72D}"/>
            </c:ext>
          </c:extLst>
        </c:ser>
        <c:ser>
          <c:idx val="2"/>
          <c:order val="2"/>
          <c:tx>
            <c:strRef>
              <c:f>Portfolio!$E$1</c:f>
              <c:strCache>
                <c:ptCount val="1"/>
                <c:pt idx="0">
                  <c:v>DQN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Portfolio!$E$2:$E$50</c:f>
              <c:numCache>
                <c:formatCode>General</c:formatCode>
                <c:ptCount val="49"/>
                <c:pt idx="0">
                  <c:v>100000.30100000001</c:v>
                </c:pt>
                <c:pt idx="1">
                  <c:v>100000.66499999999</c:v>
                </c:pt>
                <c:pt idx="2">
                  <c:v>100001.25290000001</c:v>
                </c:pt>
                <c:pt idx="3">
                  <c:v>100001.18489999999</c:v>
                </c:pt>
                <c:pt idx="4">
                  <c:v>100000.47</c:v>
                </c:pt>
                <c:pt idx="5">
                  <c:v>99996.876170000003</c:v>
                </c:pt>
                <c:pt idx="6">
                  <c:v>99994.496310000002</c:v>
                </c:pt>
                <c:pt idx="7">
                  <c:v>99994.368319999994</c:v>
                </c:pt>
                <c:pt idx="8">
                  <c:v>99995.304269999993</c:v>
                </c:pt>
                <c:pt idx="9">
                  <c:v>99990.664529999995</c:v>
                </c:pt>
                <c:pt idx="10">
                  <c:v>99992.083440000002</c:v>
                </c:pt>
                <c:pt idx="11">
                  <c:v>99995.023270000005</c:v>
                </c:pt>
                <c:pt idx="12">
                  <c:v>100003.5638</c:v>
                </c:pt>
                <c:pt idx="13">
                  <c:v>100003.3538</c:v>
                </c:pt>
                <c:pt idx="14">
                  <c:v>100004.3288</c:v>
                </c:pt>
                <c:pt idx="15">
                  <c:v>100004.21679999999</c:v>
                </c:pt>
                <c:pt idx="16">
                  <c:v>99999.337809999997</c:v>
                </c:pt>
                <c:pt idx="17">
                  <c:v>99991.075779999999</c:v>
                </c:pt>
                <c:pt idx="18">
                  <c:v>100002.3808</c:v>
                </c:pt>
                <c:pt idx="19">
                  <c:v>100003.2408</c:v>
                </c:pt>
                <c:pt idx="20">
                  <c:v>100017.81479999999</c:v>
                </c:pt>
                <c:pt idx="21">
                  <c:v>100006.4188</c:v>
                </c:pt>
                <c:pt idx="22">
                  <c:v>100003.06080000001</c:v>
                </c:pt>
                <c:pt idx="23">
                  <c:v>100004.78879999999</c:v>
                </c:pt>
                <c:pt idx="24">
                  <c:v>100006.03879999999</c:v>
                </c:pt>
                <c:pt idx="25">
                  <c:v>100015.5548</c:v>
                </c:pt>
                <c:pt idx="26">
                  <c:v>100028.32580000001</c:v>
                </c:pt>
                <c:pt idx="27">
                  <c:v>100030.1738</c:v>
                </c:pt>
                <c:pt idx="28">
                  <c:v>100034.95879999999</c:v>
                </c:pt>
                <c:pt idx="29">
                  <c:v>100031.1488</c:v>
                </c:pt>
                <c:pt idx="30">
                  <c:v>100024.70080000001</c:v>
                </c:pt>
                <c:pt idx="31">
                  <c:v>100023.1008</c:v>
                </c:pt>
                <c:pt idx="32">
                  <c:v>100036.5318</c:v>
                </c:pt>
                <c:pt idx="33">
                  <c:v>100048.29580000001</c:v>
                </c:pt>
                <c:pt idx="34">
                  <c:v>100015.36079999999</c:v>
                </c:pt>
                <c:pt idx="35">
                  <c:v>100033.9368</c:v>
                </c:pt>
                <c:pt idx="36">
                  <c:v>100003.2638</c:v>
                </c:pt>
                <c:pt idx="37">
                  <c:v>100002.50380000001</c:v>
                </c:pt>
                <c:pt idx="38">
                  <c:v>100010.2258</c:v>
                </c:pt>
                <c:pt idx="39">
                  <c:v>100015.8658</c:v>
                </c:pt>
                <c:pt idx="40">
                  <c:v>100013.4878</c:v>
                </c:pt>
                <c:pt idx="41">
                  <c:v>100007.2718</c:v>
                </c:pt>
                <c:pt idx="42">
                  <c:v>100003.4878</c:v>
                </c:pt>
                <c:pt idx="43">
                  <c:v>100011.7598</c:v>
                </c:pt>
                <c:pt idx="44">
                  <c:v>100030.2098</c:v>
                </c:pt>
                <c:pt idx="45">
                  <c:v>100054.2678</c:v>
                </c:pt>
                <c:pt idx="46">
                  <c:v>100099.1058</c:v>
                </c:pt>
                <c:pt idx="47">
                  <c:v>100127.9538</c:v>
                </c:pt>
                <c:pt idx="48">
                  <c:v>100127.9538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037-451D-B529-DAACCAF7A72D}"/>
            </c:ext>
          </c:extLst>
        </c:ser>
        <c:ser>
          <c:idx val="3"/>
          <c:order val="3"/>
          <c:tx>
            <c:strRef>
              <c:f>Portfolio!$F$1</c:f>
              <c:strCache>
                <c:ptCount val="1"/>
                <c:pt idx="0">
                  <c:v>A2C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Portfolio!$F$2:$F$50</c:f>
              <c:numCache>
                <c:formatCode>General</c:formatCode>
                <c:ptCount val="49"/>
                <c:pt idx="0">
                  <c:v>104032.771316528</c:v>
                </c:pt>
                <c:pt idx="1">
                  <c:v>105042.49905395501</c:v>
                </c:pt>
                <c:pt idx="2">
                  <c:v>105996.820449829</c:v>
                </c:pt>
                <c:pt idx="3">
                  <c:v>105858.732299804</c:v>
                </c:pt>
                <c:pt idx="4">
                  <c:v>105967.46746826101</c:v>
                </c:pt>
                <c:pt idx="5">
                  <c:v>103996.615005493</c:v>
                </c:pt>
                <c:pt idx="6">
                  <c:v>102707.282684326</c:v>
                </c:pt>
                <c:pt idx="7">
                  <c:v>105560.76260375899</c:v>
                </c:pt>
                <c:pt idx="8">
                  <c:v>107170.51890563899</c:v>
                </c:pt>
                <c:pt idx="9">
                  <c:v>108930.45935058501</c:v>
                </c:pt>
                <c:pt idx="10">
                  <c:v>108287.93862915</c:v>
                </c:pt>
                <c:pt idx="11">
                  <c:v>108531.983291625</c:v>
                </c:pt>
                <c:pt idx="12">
                  <c:v>107271.106781005</c:v>
                </c:pt>
                <c:pt idx="13">
                  <c:v>110782.460189819</c:v>
                </c:pt>
                <c:pt idx="14">
                  <c:v>115127.92309570299</c:v>
                </c:pt>
                <c:pt idx="15">
                  <c:v>118427.12557983299</c:v>
                </c:pt>
                <c:pt idx="16">
                  <c:v>120483.71810913</c:v>
                </c:pt>
                <c:pt idx="17">
                  <c:v>120908.088394165</c:v>
                </c:pt>
                <c:pt idx="18">
                  <c:v>119573.21510314901</c:v>
                </c:pt>
                <c:pt idx="19">
                  <c:v>121881.16859436</c:v>
                </c:pt>
                <c:pt idx="20">
                  <c:v>123600.983901977</c:v>
                </c:pt>
                <c:pt idx="21">
                  <c:v>121516.293273925</c:v>
                </c:pt>
                <c:pt idx="22">
                  <c:v>123560.23529052699</c:v>
                </c:pt>
                <c:pt idx="23">
                  <c:v>120722.484786987</c:v>
                </c:pt>
                <c:pt idx="24">
                  <c:v>123370.57156372</c:v>
                </c:pt>
                <c:pt idx="25">
                  <c:v>123793.01019287101</c:v>
                </c:pt>
                <c:pt idx="26">
                  <c:v>123718.998046875</c:v>
                </c:pt>
                <c:pt idx="27">
                  <c:v>126211.252273559</c:v>
                </c:pt>
                <c:pt idx="28">
                  <c:v>123050.04560852</c:v>
                </c:pt>
                <c:pt idx="29">
                  <c:v>121886.604156494</c:v>
                </c:pt>
                <c:pt idx="30">
                  <c:v>125747.20759582501</c:v>
                </c:pt>
                <c:pt idx="31">
                  <c:v>122504.215194702</c:v>
                </c:pt>
                <c:pt idx="32">
                  <c:v>123738.794784545</c:v>
                </c:pt>
                <c:pt idx="33">
                  <c:v>123006.922195434</c:v>
                </c:pt>
                <c:pt idx="34">
                  <c:v>117574.111251831</c:v>
                </c:pt>
                <c:pt idx="35">
                  <c:v>121960.498901367</c:v>
                </c:pt>
                <c:pt idx="36">
                  <c:v>120686.459365844</c:v>
                </c:pt>
                <c:pt idx="37">
                  <c:v>121961.650848388</c:v>
                </c:pt>
                <c:pt idx="38">
                  <c:v>120770.24635314901</c:v>
                </c:pt>
                <c:pt idx="39">
                  <c:v>122708.74340820299</c:v>
                </c:pt>
                <c:pt idx="40">
                  <c:v>125254.09109497</c:v>
                </c:pt>
                <c:pt idx="41">
                  <c:v>125515.286773681</c:v>
                </c:pt>
                <c:pt idx="42">
                  <c:v>124020.200531005</c:v>
                </c:pt>
                <c:pt idx="43">
                  <c:v>125087.829193115</c:v>
                </c:pt>
                <c:pt idx="44">
                  <c:v>127435.246002197</c:v>
                </c:pt>
                <c:pt idx="45">
                  <c:v>130271.949600219</c:v>
                </c:pt>
                <c:pt idx="46">
                  <c:v>130625.222824096</c:v>
                </c:pt>
                <c:pt idx="47">
                  <c:v>132284.143218994</c:v>
                </c:pt>
                <c:pt idx="48">
                  <c:v>132284.143218994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7-451D-B529-DAACCAF7A72D}"/>
            </c:ext>
          </c:extLst>
        </c:ser>
        <c:ser>
          <c:idx val="4"/>
          <c:order val="4"/>
          <c:tx>
            <c:strRef>
              <c:f>Portfolio!$G$1</c:f>
              <c:strCache>
                <c:ptCount val="1"/>
                <c:pt idx="0">
                  <c:v>REINFORCE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Portfolio!$G$2:$G$50</c:f>
              <c:numCache>
                <c:formatCode>General</c:formatCode>
                <c:ptCount val="49"/>
                <c:pt idx="0">
                  <c:v>101422.29321289</c:v>
                </c:pt>
                <c:pt idx="1">
                  <c:v>101863.1169281</c:v>
                </c:pt>
                <c:pt idx="2">
                  <c:v>102496.07554626399</c:v>
                </c:pt>
                <c:pt idx="3">
                  <c:v>102664.012832641</c:v>
                </c:pt>
                <c:pt idx="4">
                  <c:v>102440.999755859</c:v>
                </c:pt>
                <c:pt idx="5">
                  <c:v>100388.146835327</c:v>
                </c:pt>
                <c:pt idx="6">
                  <c:v>100375.678085327</c:v>
                </c:pt>
                <c:pt idx="7">
                  <c:v>102854.694885253</c:v>
                </c:pt>
                <c:pt idx="8">
                  <c:v>105393.416351318</c:v>
                </c:pt>
                <c:pt idx="9">
                  <c:v>105137.00584411601</c:v>
                </c:pt>
                <c:pt idx="10">
                  <c:v>105800.534744262</c:v>
                </c:pt>
                <c:pt idx="11">
                  <c:v>107385.349243164</c:v>
                </c:pt>
                <c:pt idx="12">
                  <c:v>105508.45156860301</c:v>
                </c:pt>
                <c:pt idx="13">
                  <c:v>106098.670120239</c:v>
                </c:pt>
                <c:pt idx="14">
                  <c:v>105975.421096801</c:v>
                </c:pt>
                <c:pt idx="15">
                  <c:v>109653.59596252401</c:v>
                </c:pt>
                <c:pt idx="16">
                  <c:v>110436.149780273</c:v>
                </c:pt>
                <c:pt idx="17">
                  <c:v>109829.197311401</c:v>
                </c:pt>
                <c:pt idx="18">
                  <c:v>110553.24092102</c:v>
                </c:pt>
                <c:pt idx="19">
                  <c:v>110993.90107727</c:v>
                </c:pt>
                <c:pt idx="20">
                  <c:v>111014.252090454</c:v>
                </c:pt>
                <c:pt idx="21">
                  <c:v>109429.869857788</c:v>
                </c:pt>
                <c:pt idx="22">
                  <c:v>109156.212341308</c:v>
                </c:pt>
                <c:pt idx="23">
                  <c:v>108737.53434753401</c:v>
                </c:pt>
                <c:pt idx="24">
                  <c:v>108474.84082031201</c:v>
                </c:pt>
                <c:pt idx="25">
                  <c:v>107801.065567016</c:v>
                </c:pt>
                <c:pt idx="26">
                  <c:v>107333.38897705</c:v>
                </c:pt>
                <c:pt idx="27">
                  <c:v>107552.289260864</c:v>
                </c:pt>
                <c:pt idx="28">
                  <c:v>108414.431564331</c:v>
                </c:pt>
                <c:pt idx="29">
                  <c:v>108029.14706420799</c:v>
                </c:pt>
                <c:pt idx="30">
                  <c:v>108210.49124145501</c:v>
                </c:pt>
                <c:pt idx="31">
                  <c:v>108069.138916015</c:v>
                </c:pt>
                <c:pt idx="32">
                  <c:v>108733.67086791901</c:v>
                </c:pt>
                <c:pt idx="33">
                  <c:v>107867.823379516</c:v>
                </c:pt>
                <c:pt idx="34">
                  <c:v>102728.133132934</c:v>
                </c:pt>
                <c:pt idx="35">
                  <c:v>104337.558227539</c:v>
                </c:pt>
                <c:pt idx="36">
                  <c:v>103590.74244689901</c:v>
                </c:pt>
                <c:pt idx="37">
                  <c:v>103714.63714599601</c:v>
                </c:pt>
                <c:pt idx="38">
                  <c:v>103020.966720581</c:v>
                </c:pt>
                <c:pt idx="39">
                  <c:v>105032.450119018</c:v>
                </c:pt>
                <c:pt idx="40">
                  <c:v>109167.643478393</c:v>
                </c:pt>
                <c:pt idx="41">
                  <c:v>109375.943527221</c:v>
                </c:pt>
                <c:pt idx="42">
                  <c:v>107847.92353820799</c:v>
                </c:pt>
                <c:pt idx="43">
                  <c:v>108169.060592651</c:v>
                </c:pt>
                <c:pt idx="44">
                  <c:v>109217.036087036</c:v>
                </c:pt>
                <c:pt idx="45">
                  <c:v>111937.511886596</c:v>
                </c:pt>
                <c:pt idx="46">
                  <c:v>111891.808349609</c:v>
                </c:pt>
                <c:pt idx="47">
                  <c:v>114213.116607666</c:v>
                </c:pt>
                <c:pt idx="48">
                  <c:v>114213.116607666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7-451D-B529-DAACCAF7A72D}"/>
            </c:ext>
          </c:extLst>
        </c:ser>
        <c:ser>
          <c:idx val="5"/>
          <c:order val="5"/>
          <c:tx>
            <c:strRef>
              <c:f>Portfolio!$H$1</c:f>
              <c:strCache>
                <c:ptCount val="1"/>
                <c:pt idx="0">
                  <c:v>DDPG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Portfolio!$H$2:$H$50</c:f>
              <c:numCache>
                <c:formatCode>General</c:formatCode>
                <c:ptCount val="49"/>
                <c:pt idx="0">
                  <c:v>101927.844848632</c:v>
                </c:pt>
                <c:pt idx="1">
                  <c:v>102198.60076904199</c:v>
                </c:pt>
                <c:pt idx="2">
                  <c:v>102291.948852539</c:v>
                </c:pt>
                <c:pt idx="3">
                  <c:v>102736.395568847</c:v>
                </c:pt>
                <c:pt idx="4">
                  <c:v>104068.091125488</c:v>
                </c:pt>
                <c:pt idx="5">
                  <c:v>104149.608154296</c:v>
                </c:pt>
                <c:pt idx="6">
                  <c:v>103307.347412109</c:v>
                </c:pt>
                <c:pt idx="7">
                  <c:v>108921.089172363</c:v>
                </c:pt>
                <c:pt idx="8">
                  <c:v>109588.99261474601</c:v>
                </c:pt>
                <c:pt idx="9">
                  <c:v>109722.15576171799</c:v>
                </c:pt>
                <c:pt idx="10">
                  <c:v>109306.325073242</c:v>
                </c:pt>
                <c:pt idx="11">
                  <c:v>109725.299072265</c:v>
                </c:pt>
                <c:pt idx="12">
                  <c:v>108181.44989013601</c:v>
                </c:pt>
                <c:pt idx="13">
                  <c:v>109087.98645019501</c:v>
                </c:pt>
                <c:pt idx="14">
                  <c:v>110247.40997314399</c:v>
                </c:pt>
                <c:pt idx="15">
                  <c:v>113098.390808105</c:v>
                </c:pt>
                <c:pt idx="16">
                  <c:v>113108.86505126899</c:v>
                </c:pt>
                <c:pt idx="17">
                  <c:v>112980.0491333</c:v>
                </c:pt>
                <c:pt idx="18">
                  <c:v>113211.25122070299</c:v>
                </c:pt>
                <c:pt idx="19">
                  <c:v>115555.641174316</c:v>
                </c:pt>
                <c:pt idx="20">
                  <c:v>117127.386779785</c:v>
                </c:pt>
                <c:pt idx="21">
                  <c:v>116467.40234375</c:v>
                </c:pt>
                <c:pt idx="22">
                  <c:v>115167.358703613</c:v>
                </c:pt>
                <c:pt idx="23">
                  <c:v>115715.04699707001</c:v>
                </c:pt>
                <c:pt idx="24">
                  <c:v>115715.975646972</c:v>
                </c:pt>
                <c:pt idx="25">
                  <c:v>115106.19903564399</c:v>
                </c:pt>
                <c:pt idx="26">
                  <c:v>115056.476745605</c:v>
                </c:pt>
                <c:pt idx="27">
                  <c:v>115633.01544189399</c:v>
                </c:pt>
                <c:pt idx="28">
                  <c:v>116007.81463623</c:v>
                </c:pt>
                <c:pt idx="29">
                  <c:v>116165.849304199</c:v>
                </c:pt>
                <c:pt idx="30">
                  <c:v>117252.07855224601</c:v>
                </c:pt>
                <c:pt idx="31">
                  <c:v>116138.67889404199</c:v>
                </c:pt>
                <c:pt idx="32">
                  <c:v>116252.423400878</c:v>
                </c:pt>
                <c:pt idx="33">
                  <c:v>114757.837219238</c:v>
                </c:pt>
                <c:pt idx="34">
                  <c:v>111670.98083496001</c:v>
                </c:pt>
                <c:pt idx="35">
                  <c:v>113757.040100097</c:v>
                </c:pt>
                <c:pt idx="36">
                  <c:v>114024.647521972</c:v>
                </c:pt>
                <c:pt idx="37">
                  <c:v>115450.15106201101</c:v>
                </c:pt>
                <c:pt idx="38">
                  <c:v>115104.02130126899</c:v>
                </c:pt>
                <c:pt idx="39">
                  <c:v>116498.07098388601</c:v>
                </c:pt>
                <c:pt idx="40">
                  <c:v>119232.259216308</c:v>
                </c:pt>
                <c:pt idx="41">
                  <c:v>118146.211242675</c:v>
                </c:pt>
                <c:pt idx="42">
                  <c:v>117615.29022216699</c:v>
                </c:pt>
                <c:pt idx="43">
                  <c:v>118119.664001464</c:v>
                </c:pt>
                <c:pt idx="44">
                  <c:v>120226.3772583</c:v>
                </c:pt>
                <c:pt idx="45">
                  <c:v>123530.062561035</c:v>
                </c:pt>
                <c:pt idx="46">
                  <c:v>123523.937072753</c:v>
                </c:pt>
                <c:pt idx="47">
                  <c:v>125068.235168457</c:v>
                </c:pt>
                <c:pt idx="48">
                  <c:v>125068.235168457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37-451D-B529-DAACCAF7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123536"/>
        <c:axId val="2104124496"/>
        <c:extLst/>
      </c:lineChart>
      <c:catAx>
        <c:axId val="210412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Steps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24496"/>
        <c:crosses val="autoZero"/>
        <c:auto val="1"/>
        <c:lblAlgn val="ctr"/>
        <c:lblOffset val="100"/>
        <c:tickLblSkip val="1"/>
        <c:noMultiLvlLbl val="0"/>
      </c:catAx>
      <c:valAx>
        <c:axId val="2104124496"/>
        <c:scaling>
          <c:orientation val="minMax"/>
          <c:min val="9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 Value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23536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 Stock Trading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Portfolio!$C$1</c:f>
              <c:strCache>
                <c:ptCount val="1"/>
                <c:pt idx="0">
                  <c:v>Buy_n_Hold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Portfolio!$C$2:$C$50</c:f>
              <c:numCache>
                <c:formatCode>General</c:formatCode>
                <c:ptCount val="49"/>
                <c:pt idx="0">
                  <c:v>102600.375</c:v>
                </c:pt>
                <c:pt idx="1">
                  <c:v>103005.72</c:v>
                </c:pt>
                <c:pt idx="2">
                  <c:v>103434.15</c:v>
                </c:pt>
                <c:pt idx="3">
                  <c:v>103456.806</c:v>
                </c:pt>
                <c:pt idx="4">
                  <c:v>103921.394</c:v>
                </c:pt>
                <c:pt idx="5">
                  <c:v>102465.27499999999</c:v>
                </c:pt>
                <c:pt idx="6">
                  <c:v>101371.7</c:v>
                </c:pt>
                <c:pt idx="7">
                  <c:v>103592.39</c:v>
                </c:pt>
                <c:pt idx="8">
                  <c:v>104998.06</c:v>
                </c:pt>
                <c:pt idx="9">
                  <c:v>104846.375</c:v>
                </c:pt>
                <c:pt idx="10">
                  <c:v>104898.56</c:v>
                </c:pt>
                <c:pt idx="11">
                  <c:v>105719.38</c:v>
                </c:pt>
                <c:pt idx="12">
                  <c:v>105060.42</c:v>
                </c:pt>
                <c:pt idx="13">
                  <c:v>106250.75</c:v>
                </c:pt>
                <c:pt idx="14">
                  <c:v>108028.62</c:v>
                </c:pt>
                <c:pt idx="15">
                  <c:v>110134.9</c:v>
                </c:pt>
                <c:pt idx="16">
                  <c:v>110743.24</c:v>
                </c:pt>
                <c:pt idx="17">
                  <c:v>110302.34</c:v>
                </c:pt>
                <c:pt idx="18">
                  <c:v>110512.46</c:v>
                </c:pt>
                <c:pt idx="19">
                  <c:v>111884.15</c:v>
                </c:pt>
                <c:pt idx="20">
                  <c:v>112737.39</c:v>
                </c:pt>
                <c:pt idx="21">
                  <c:v>110992.22</c:v>
                </c:pt>
                <c:pt idx="22">
                  <c:v>111266.4</c:v>
                </c:pt>
                <c:pt idx="23">
                  <c:v>110204.2</c:v>
                </c:pt>
                <c:pt idx="24">
                  <c:v>111098.88</c:v>
                </c:pt>
                <c:pt idx="25">
                  <c:v>111515.46</c:v>
                </c:pt>
                <c:pt idx="26">
                  <c:v>111666.85</c:v>
                </c:pt>
                <c:pt idx="27">
                  <c:v>112347.98</c:v>
                </c:pt>
                <c:pt idx="28">
                  <c:v>111788.9</c:v>
                </c:pt>
                <c:pt idx="29">
                  <c:v>110982.06</c:v>
                </c:pt>
                <c:pt idx="30">
                  <c:v>112642.55</c:v>
                </c:pt>
                <c:pt idx="31">
                  <c:v>111231.12</c:v>
                </c:pt>
                <c:pt idx="32">
                  <c:v>112170.21</c:v>
                </c:pt>
                <c:pt idx="33">
                  <c:v>112231.48</c:v>
                </c:pt>
                <c:pt idx="34">
                  <c:v>107965.45</c:v>
                </c:pt>
                <c:pt idx="35">
                  <c:v>110608.1</c:v>
                </c:pt>
                <c:pt idx="36">
                  <c:v>109347.26</c:v>
                </c:pt>
                <c:pt idx="37">
                  <c:v>110209.22</c:v>
                </c:pt>
                <c:pt idx="38">
                  <c:v>109767.64</c:v>
                </c:pt>
                <c:pt idx="39">
                  <c:v>110850.76</c:v>
                </c:pt>
                <c:pt idx="40">
                  <c:v>112637.75999999999</c:v>
                </c:pt>
                <c:pt idx="41">
                  <c:v>112302.25</c:v>
                </c:pt>
                <c:pt idx="42">
                  <c:v>111703.74</c:v>
                </c:pt>
                <c:pt idx="43">
                  <c:v>112689.31</c:v>
                </c:pt>
                <c:pt idx="44">
                  <c:v>113410.04</c:v>
                </c:pt>
                <c:pt idx="45">
                  <c:v>116364.1</c:v>
                </c:pt>
                <c:pt idx="46">
                  <c:v>117846.69</c:v>
                </c:pt>
                <c:pt idx="47">
                  <c:v>118990.22</c:v>
                </c:pt>
                <c:pt idx="48">
                  <c:v>115724.4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A-4B51-AEB1-80F838E30BAD}"/>
            </c:ext>
          </c:extLst>
        </c:ser>
        <c:ser>
          <c:idx val="1"/>
          <c:order val="1"/>
          <c:tx>
            <c:strRef>
              <c:f>Portfolio!$D$1</c:f>
              <c:strCache>
                <c:ptCount val="1"/>
                <c:pt idx="0">
                  <c:v>DDQN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Portfolio!$D$2:$D$50</c:f>
              <c:numCache>
                <c:formatCode>General</c:formatCode>
                <c:ptCount val="49"/>
                <c:pt idx="0">
                  <c:v>100000.30100000001</c:v>
                </c:pt>
                <c:pt idx="1">
                  <c:v>100000.66499999999</c:v>
                </c:pt>
                <c:pt idx="2">
                  <c:v>100001.25290000001</c:v>
                </c:pt>
                <c:pt idx="3">
                  <c:v>100001.18489999999</c:v>
                </c:pt>
                <c:pt idx="4">
                  <c:v>100000.47</c:v>
                </c:pt>
                <c:pt idx="5">
                  <c:v>99996.876170000003</c:v>
                </c:pt>
                <c:pt idx="6">
                  <c:v>99994.496310000002</c:v>
                </c:pt>
                <c:pt idx="7">
                  <c:v>99994.368319999994</c:v>
                </c:pt>
                <c:pt idx="8">
                  <c:v>99995.304269999993</c:v>
                </c:pt>
                <c:pt idx="9">
                  <c:v>99990.664529999995</c:v>
                </c:pt>
                <c:pt idx="10">
                  <c:v>99992.083440000002</c:v>
                </c:pt>
                <c:pt idx="11">
                  <c:v>99995.023270000005</c:v>
                </c:pt>
                <c:pt idx="12">
                  <c:v>100003.5638</c:v>
                </c:pt>
                <c:pt idx="13">
                  <c:v>100003.3538</c:v>
                </c:pt>
                <c:pt idx="14">
                  <c:v>100004.3288</c:v>
                </c:pt>
                <c:pt idx="15">
                  <c:v>100004.21679999999</c:v>
                </c:pt>
                <c:pt idx="16">
                  <c:v>99999.337809999997</c:v>
                </c:pt>
                <c:pt idx="17">
                  <c:v>99991.075779999999</c:v>
                </c:pt>
                <c:pt idx="18">
                  <c:v>100002.3808</c:v>
                </c:pt>
                <c:pt idx="19">
                  <c:v>100003.2408</c:v>
                </c:pt>
                <c:pt idx="20">
                  <c:v>100017.81479999999</c:v>
                </c:pt>
                <c:pt idx="21">
                  <c:v>100006.4188</c:v>
                </c:pt>
                <c:pt idx="22">
                  <c:v>100003.06080000001</c:v>
                </c:pt>
                <c:pt idx="23">
                  <c:v>100004.78879999999</c:v>
                </c:pt>
                <c:pt idx="24">
                  <c:v>100006.03879999999</c:v>
                </c:pt>
                <c:pt idx="25">
                  <c:v>100015.5548</c:v>
                </c:pt>
                <c:pt idx="26">
                  <c:v>100028.32580000001</c:v>
                </c:pt>
                <c:pt idx="27">
                  <c:v>100030.1738</c:v>
                </c:pt>
                <c:pt idx="28">
                  <c:v>100034.95879999999</c:v>
                </c:pt>
                <c:pt idx="29">
                  <c:v>100031.1488</c:v>
                </c:pt>
                <c:pt idx="30">
                  <c:v>100024.70080000001</c:v>
                </c:pt>
                <c:pt idx="31">
                  <c:v>100023.1008</c:v>
                </c:pt>
                <c:pt idx="32">
                  <c:v>100036.5318</c:v>
                </c:pt>
                <c:pt idx="33">
                  <c:v>100048.29580000001</c:v>
                </c:pt>
                <c:pt idx="34">
                  <c:v>100015.36079999999</c:v>
                </c:pt>
                <c:pt idx="35">
                  <c:v>100033.9368</c:v>
                </c:pt>
                <c:pt idx="36">
                  <c:v>100003.2638</c:v>
                </c:pt>
                <c:pt idx="37">
                  <c:v>100002.50380000001</c:v>
                </c:pt>
                <c:pt idx="38">
                  <c:v>100010.2258</c:v>
                </c:pt>
                <c:pt idx="39">
                  <c:v>100015.8658</c:v>
                </c:pt>
                <c:pt idx="40">
                  <c:v>100013.4878</c:v>
                </c:pt>
                <c:pt idx="41">
                  <c:v>100007.2718</c:v>
                </c:pt>
                <c:pt idx="42">
                  <c:v>100003.4878</c:v>
                </c:pt>
                <c:pt idx="43">
                  <c:v>100011.7598</c:v>
                </c:pt>
                <c:pt idx="44">
                  <c:v>100030.2098</c:v>
                </c:pt>
                <c:pt idx="45">
                  <c:v>100054.2678</c:v>
                </c:pt>
                <c:pt idx="46">
                  <c:v>100099.1058</c:v>
                </c:pt>
                <c:pt idx="47">
                  <c:v>100127.9538</c:v>
                </c:pt>
                <c:pt idx="48">
                  <c:v>100127.9538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A-4B51-AEB1-80F838E30BAD}"/>
            </c:ext>
          </c:extLst>
        </c:ser>
        <c:ser>
          <c:idx val="2"/>
          <c:order val="2"/>
          <c:tx>
            <c:strRef>
              <c:f>Portfolio!$E$1</c:f>
              <c:strCache>
                <c:ptCount val="1"/>
                <c:pt idx="0">
                  <c:v>DQN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Portfolio!$E$2:$E$50</c:f>
              <c:numCache>
                <c:formatCode>General</c:formatCode>
                <c:ptCount val="49"/>
                <c:pt idx="0">
                  <c:v>100000.30100000001</c:v>
                </c:pt>
                <c:pt idx="1">
                  <c:v>100000.66499999999</c:v>
                </c:pt>
                <c:pt idx="2">
                  <c:v>100001.25290000001</c:v>
                </c:pt>
                <c:pt idx="3">
                  <c:v>100001.18489999999</c:v>
                </c:pt>
                <c:pt idx="4">
                  <c:v>100000.47</c:v>
                </c:pt>
                <c:pt idx="5">
                  <c:v>99996.876170000003</c:v>
                </c:pt>
                <c:pt idx="6">
                  <c:v>99994.496310000002</c:v>
                </c:pt>
                <c:pt idx="7">
                  <c:v>99994.368319999994</c:v>
                </c:pt>
                <c:pt idx="8">
                  <c:v>99995.304269999993</c:v>
                </c:pt>
                <c:pt idx="9">
                  <c:v>99990.664529999995</c:v>
                </c:pt>
                <c:pt idx="10">
                  <c:v>99992.083440000002</c:v>
                </c:pt>
                <c:pt idx="11">
                  <c:v>99995.023270000005</c:v>
                </c:pt>
                <c:pt idx="12">
                  <c:v>100003.5638</c:v>
                </c:pt>
                <c:pt idx="13">
                  <c:v>100003.3538</c:v>
                </c:pt>
                <c:pt idx="14">
                  <c:v>100004.3288</c:v>
                </c:pt>
                <c:pt idx="15">
                  <c:v>100004.21679999999</c:v>
                </c:pt>
                <c:pt idx="16">
                  <c:v>99999.337809999997</c:v>
                </c:pt>
                <c:pt idx="17">
                  <c:v>99991.075779999999</c:v>
                </c:pt>
                <c:pt idx="18">
                  <c:v>100002.3808</c:v>
                </c:pt>
                <c:pt idx="19">
                  <c:v>100003.2408</c:v>
                </c:pt>
                <c:pt idx="20">
                  <c:v>100017.81479999999</c:v>
                </c:pt>
                <c:pt idx="21">
                  <c:v>100006.4188</c:v>
                </c:pt>
                <c:pt idx="22">
                  <c:v>100003.06080000001</c:v>
                </c:pt>
                <c:pt idx="23">
                  <c:v>100004.78879999999</c:v>
                </c:pt>
                <c:pt idx="24">
                  <c:v>100006.03879999999</c:v>
                </c:pt>
                <c:pt idx="25">
                  <c:v>100015.5548</c:v>
                </c:pt>
                <c:pt idx="26">
                  <c:v>100028.32580000001</c:v>
                </c:pt>
                <c:pt idx="27">
                  <c:v>100030.1738</c:v>
                </c:pt>
                <c:pt idx="28">
                  <c:v>100034.95879999999</c:v>
                </c:pt>
                <c:pt idx="29">
                  <c:v>100031.1488</c:v>
                </c:pt>
                <c:pt idx="30">
                  <c:v>100024.70080000001</c:v>
                </c:pt>
                <c:pt idx="31">
                  <c:v>100023.1008</c:v>
                </c:pt>
                <c:pt idx="32">
                  <c:v>100036.5318</c:v>
                </c:pt>
                <c:pt idx="33">
                  <c:v>100048.29580000001</c:v>
                </c:pt>
                <c:pt idx="34">
                  <c:v>100015.36079999999</c:v>
                </c:pt>
                <c:pt idx="35">
                  <c:v>100033.9368</c:v>
                </c:pt>
                <c:pt idx="36">
                  <c:v>100003.2638</c:v>
                </c:pt>
                <c:pt idx="37">
                  <c:v>100002.50380000001</c:v>
                </c:pt>
                <c:pt idx="38">
                  <c:v>100010.2258</c:v>
                </c:pt>
                <c:pt idx="39">
                  <c:v>100015.8658</c:v>
                </c:pt>
                <c:pt idx="40">
                  <c:v>100013.4878</c:v>
                </c:pt>
                <c:pt idx="41">
                  <c:v>100007.2718</c:v>
                </c:pt>
                <c:pt idx="42">
                  <c:v>100003.4878</c:v>
                </c:pt>
                <c:pt idx="43">
                  <c:v>100011.7598</c:v>
                </c:pt>
                <c:pt idx="44">
                  <c:v>100030.2098</c:v>
                </c:pt>
                <c:pt idx="45">
                  <c:v>100054.2678</c:v>
                </c:pt>
                <c:pt idx="46">
                  <c:v>100099.1058</c:v>
                </c:pt>
                <c:pt idx="47">
                  <c:v>100127.9538</c:v>
                </c:pt>
                <c:pt idx="48">
                  <c:v>100127.9538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3A-4B51-AEB1-80F838E30BAD}"/>
            </c:ext>
          </c:extLst>
        </c:ser>
        <c:ser>
          <c:idx val="3"/>
          <c:order val="3"/>
          <c:tx>
            <c:strRef>
              <c:f>Portfolio!$F$1</c:f>
              <c:strCache>
                <c:ptCount val="1"/>
                <c:pt idx="0">
                  <c:v>A2C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Portfolio!$F$2:$F$50</c:f>
              <c:numCache>
                <c:formatCode>General</c:formatCode>
                <c:ptCount val="49"/>
                <c:pt idx="0">
                  <c:v>104032.771316528</c:v>
                </c:pt>
                <c:pt idx="1">
                  <c:v>105042.49905395501</c:v>
                </c:pt>
                <c:pt idx="2">
                  <c:v>105996.820449829</c:v>
                </c:pt>
                <c:pt idx="3">
                  <c:v>105858.732299804</c:v>
                </c:pt>
                <c:pt idx="4">
                  <c:v>105967.46746826101</c:v>
                </c:pt>
                <c:pt idx="5">
                  <c:v>103996.615005493</c:v>
                </c:pt>
                <c:pt idx="6">
                  <c:v>102707.282684326</c:v>
                </c:pt>
                <c:pt idx="7">
                  <c:v>105560.76260375899</c:v>
                </c:pt>
                <c:pt idx="8">
                  <c:v>107170.51890563899</c:v>
                </c:pt>
                <c:pt idx="9">
                  <c:v>108930.45935058501</c:v>
                </c:pt>
                <c:pt idx="10">
                  <c:v>108287.93862915</c:v>
                </c:pt>
                <c:pt idx="11">
                  <c:v>108531.983291625</c:v>
                </c:pt>
                <c:pt idx="12">
                  <c:v>107271.106781005</c:v>
                </c:pt>
                <c:pt idx="13">
                  <c:v>110782.460189819</c:v>
                </c:pt>
                <c:pt idx="14">
                  <c:v>115127.92309570299</c:v>
                </c:pt>
                <c:pt idx="15">
                  <c:v>118427.12557983299</c:v>
                </c:pt>
                <c:pt idx="16">
                  <c:v>120483.71810913</c:v>
                </c:pt>
                <c:pt idx="17">
                  <c:v>120908.088394165</c:v>
                </c:pt>
                <c:pt idx="18">
                  <c:v>119573.21510314901</c:v>
                </c:pt>
                <c:pt idx="19">
                  <c:v>121881.16859436</c:v>
                </c:pt>
                <c:pt idx="20">
                  <c:v>123600.983901977</c:v>
                </c:pt>
                <c:pt idx="21">
                  <c:v>121516.293273925</c:v>
                </c:pt>
                <c:pt idx="22">
                  <c:v>123560.23529052699</c:v>
                </c:pt>
                <c:pt idx="23">
                  <c:v>120722.484786987</c:v>
                </c:pt>
                <c:pt idx="24">
                  <c:v>123370.57156372</c:v>
                </c:pt>
                <c:pt idx="25">
                  <c:v>123793.01019287101</c:v>
                </c:pt>
                <c:pt idx="26">
                  <c:v>123718.998046875</c:v>
                </c:pt>
                <c:pt idx="27">
                  <c:v>126211.252273559</c:v>
                </c:pt>
                <c:pt idx="28">
                  <c:v>123050.04560852</c:v>
                </c:pt>
                <c:pt idx="29">
                  <c:v>121886.604156494</c:v>
                </c:pt>
                <c:pt idx="30">
                  <c:v>125747.20759582501</c:v>
                </c:pt>
                <c:pt idx="31">
                  <c:v>122504.215194702</c:v>
                </c:pt>
                <c:pt idx="32">
                  <c:v>123738.794784545</c:v>
                </c:pt>
                <c:pt idx="33">
                  <c:v>123006.922195434</c:v>
                </c:pt>
                <c:pt idx="34">
                  <c:v>117574.111251831</c:v>
                </c:pt>
                <c:pt idx="35">
                  <c:v>121960.498901367</c:v>
                </c:pt>
                <c:pt idx="36">
                  <c:v>120686.459365844</c:v>
                </c:pt>
                <c:pt idx="37">
                  <c:v>121961.650848388</c:v>
                </c:pt>
                <c:pt idx="38">
                  <c:v>120770.24635314901</c:v>
                </c:pt>
                <c:pt idx="39">
                  <c:v>122708.74340820299</c:v>
                </c:pt>
                <c:pt idx="40">
                  <c:v>125254.09109497</c:v>
                </c:pt>
                <c:pt idx="41">
                  <c:v>125515.286773681</c:v>
                </c:pt>
                <c:pt idx="42">
                  <c:v>124020.200531005</c:v>
                </c:pt>
                <c:pt idx="43">
                  <c:v>125087.829193115</c:v>
                </c:pt>
                <c:pt idx="44">
                  <c:v>127435.246002197</c:v>
                </c:pt>
                <c:pt idx="45">
                  <c:v>130271.949600219</c:v>
                </c:pt>
                <c:pt idx="46">
                  <c:v>130625.222824096</c:v>
                </c:pt>
                <c:pt idx="47">
                  <c:v>132284.143218994</c:v>
                </c:pt>
                <c:pt idx="48">
                  <c:v>132284.143218994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3A-4B51-AEB1-80F838E30BAD}"/>
            </c:ext>
          </c:extLst>
        </c:ser>
        <c:ser>
          <c:idx val="4"/>
          <c:order val="4"/>
          <c:tx>
            <c:strRef>
              <c:f>Portfolio!$G$1</c:f>
              <c:strCache>
                <c:ptCount val="1"/>
                <c:pt idx="0">
                  <c:v>REINFORCE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Portfolio!$G$2:$G$50</c:f>
              <c:numCache>
                <c:formatCode>General</c:formatCode>
                <c:ptCount val="49"/>
                <c:pt idx="0">
                  <c:v>101422.29321289</c:v>
                </c:pt>
                <c:pt idx="1">
                  <c:v>101863.1169281</c:v>
                </c:pt>
                <c:pt idx="2">
                  <c:v>102496.07554626399</c:v>
                </c:pt>
                <c:pt idx="3">
                  <c:v>102664.012832641</c:v>
                </c:pt>
                <c:pt idx="4">
                  <c:v>102440.999755859</c:v>
                </c:pt>
                <c:pt idx="5">
                  <c:v>100388.146835327</c:v>
                </c:pt>
                <c:pt idx="6">
                  <c:v>100375.678085327</c:v>
                </c:pt>
                <c:pt idx="7">
                  <c:v>102854.694885253</c:v>
                </c:pt>
                <c:pt idx="8">
                  <c:v>105393.416351318</c:v>
                </c:pt>
                <c:pt idx="9">
                  <c:v>105137.00584411601</c:v>
                </c:pt>
                <c:pt idx="10">
                  <c:v>105800.534744262</c:v>
                </c:pt>
                <c:pt idx="11">
                  <c:v>107385.349243164</c:v>
                </c:pt>
                <c:pt idx="12">
                  <c:v>105508.45156860301</c:v>
                </c:pt>
                <c:pt idx="13">
                  <c:v>106098.670120239</c:v>
                </c:pt>
                <c:pt idx="14">
                  <c:v>105975.421096801</c:v>
                </c:pt>
                <c:pt idx="15">
                  <c:v>109653.59596252401</c:v>
                </c:pt>
                <c:pt idx="16">
                  <c:v>110436.149780273</c:v>
                </c:pt>
                <c:pt idx="17">
                  <c:v>109829.197311401</c:v>
                </c:pt>
                <c:pt idx="18">
                  <c:v>110553.24092102</c:v>
                </c:pt>
                <c:pt idx="19">
                  <c:v>110993.90107727</c:v>
                </c:pt>
                <c:pt idx="20">
                  <c:v>111014.252090454</c:v>
                </c:pt>
                <c:pt idx="21">
                  <c:v>109429.869857788</c:v>
                </c:pt>
                <c:pt idx="22">
                  <c:v>109156.212341308</c:v>
                </c:pt>
                <c:pt idx="23">
                  <c:v>108737.53434753401</c:v>
                </c:pt>
                <c:pt idx="24">
                  <c:v>108474.84082031201</c:v>
                </c:pt>
                <c:pt idx="25">
                  <c:v>107801.065567016</c:v>
                </c:pt>
                <c:pt idx="26">
                  <c:v>107333.38897705</c:v>
                </c:pt>
                <c:pt idx="27">
                  <c:v>107552.289260864</c:v>
                </c:pt>
                <c:pt idx="28">
                  <c:v>108414.431564331</c:v>
                </c:pt>
                <c:pt idx="29">
                  <c:v>108029.14706420799</c:v>
                </c:pt>
                <c:pt idx="30">
                  <c:v>108210.49124145501</c:v>
                </c:pt>
                <c:pt idx="31">
                  <c:v>108069.138916015</c:v>
                </c:pt>
                <c:pt idx="32">
                  <c:v>108733.67086791901</c:v>
                </c:pt>
                <c:pt idx="33">
                  <c:v>107867.823379516</c:v>
                </c:pt>
                <c:pt idx="34">
                  <c:v>102728.133132934</c:v>
                </c:pt>
                <c:pt idx="35">
                  <c:v>104337.558227539</c:v>
                </c:pt>
                <c:pt idx="36">
                  <c:v>103590.74244689901</c:v>
                </c:pt>
                <c:pt idx="37">
                  <c:v>103714.63714599601</c:v>
                </c:pt>
                <c:pt idx="38">
                  <c:v>103020.966720581</c:v>
                </c:pt>
                <c:pt idx="39">
                  <c:v>105032.450119018</c:v>
                </c:pt>
                <c:pt idx="40">
                  <c:v>109167.643478393</c:v>
                </c:pt>
                <c:pt idx="41">
                  <c:v>109375.943527221</c:v>
                </c:pt>
                <c:pt idx="42">
                  <c:v>107847.92353820799</c:v>
                </c:pt>
                <c:pt idx="43">
                  <c:v>108169.060592651</c:v>
                </c:pt>
                <c:pt idx="44">
                  <c:v>109217.036087036</c:v>
                </c:pt>
                <c:pt idx="45">
                  <c:v>111937.511886596</c:v>
                </c:pt>
                <c:pt idx="46">
                  <c:v>111891.808349609</c:v>
                </c:pt>
                <c:pt idx="47">
                  <c:v>114213.116607666</c:v>
                </c:pt>
                <c:pt idx="48">
                  <c:v>114213.116607666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3A-4B51-AEB1-80F838E30BAD}"/>
            </c:ext>
          </c:extLst>
        </c:ser>
        <c:ser>
          <c:idx val="5"/>
          <c:order val="5"/>
          <c:tx>
            <c:strRef>
              <c:f>Portfolio!$H$1</c:f>
              <c:strCache>
                <c:ptCount val="1"/>
                <c:pt idx="0">
                  <c:v>DDPG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Portfolio!$B$2:$B$50</c:f>
              <c:numCache>
                <c:formatCode>m/d/yyyy</c:formatCode>
                <c:ptCount val="49"/>
                <c:pt idx="0">
                  <c:v>45890</c:v>
                </c:pt>
                <c:pt idx="1">
                  <c:v>45891</c:v>
                </c:pt>
                <c:pt idx="2">
                  <c:v>45894</c:v>
                </c:pt>
                <c:pt idx="3">
                  <c:v>45895</c:v>
                </c:pt>
                <c:pt idx="4">
                  <c:v>45896</c:v>
                </c:pt>
                <c:pt idx="5">
                  <c:v>45897</c:v>
                </c:pt>
                <c:pt idx="6">
                  <c:v>45898</c:v>
                </c:pt>
                <c:pt idx="7">
                  <c:v>45902</c:v>
                </c:pt>
                <c:pt idx="8">
                  <c:v>45903</c:v>
                </c:pt>
                <c:pt idx="9">
                  <c:v>45904</c:v>
                </c:pt>
                <c:pt idx="10">
                  <c:v>45905</c:v>
                </c:pt>
                <c:pt idx="11">
                  <c:v>45908</c:v>
                </c:pt>
                <c:pt idx="12">
                  <c:v>45909</c:v>
                </c:pt>
                <c:pt idx="13">
                  <c:v>45910</c:v>
                </c:pt>
                <c:pt idx="14">
                  <c:v>45911</c:v>
                </c:pt>
                <c:pt idx="15">
                  <c:v>45912</c:v>
                </c:pt>
                <c:pt idx="16">
                  <c:v>45915</c:v>
                </c:pt>
                <c:pt idx="17">
                  <c:v>45916</c:v>
                </c:pt>
                <c:pt idx="18">
                  <c:v>45917</c:v>
                </c:pt>
                <c:pt idx="19">
                  <c:v>45918</c:v>
                </c:pt>
                <c:pt idx="20">
                  <c:v>45919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45929</c:v>
                </c:pt>
                <c:pt idx="27">
                  <c:v>45930</c:v>
                </c:pt>
                <c:pt idx="28">
                  <c:v>45931</c:v>
                </c:pt>
                <c:pt idx="29">
                  <c:v>45932</c:v>
                </c:pt>
                <c:pt idx="30">
                  <c:v>45933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  <c:pt idx="37">
                  <c:v>45944</c:v>
                </c:pt>
                <c:pt idx="38">
                  <c:v>45945</c:v>
                </c:pt>
                <c:pt idx="39">
                  <c:v>45946</c:v>
                </c:pt>
                <c:pt idx="40">
                  <c:v>45947</c:v>
                </c:pt>
                <c:pt idx="41">
                  <c:v>45950</c:v>
                </c:pt>
                <c:pt idx="42">
                  <c:v>45951</c:v>
                </c:pt>
                <c:pt idx="43">
                  <c:v>45952</c:v>
                </c:pt>
                <c:pt idx="44">
                  <c:v>45953</c:v>
                </c:pt>
                <c:pt idx="45">
                  <c:v>45954</c:v>
                </c:pt>
                <c:pt idx="46">
                  <c:v>45957</c:v>
                </c:pt>
                <c:pt idx="47">
                  <c:v>45958</c:v>
                </c:pt>
                <c:pt idx="48">
                  <c:v>45960</c:v>
                </c:pt>
              </c:numCache>
            </c:numRef>
          </c:xVal>
          <c:yVal>
            <c:numRef>
              <c:f>Portfolio!$H$2:$H$50</c:f>
              <c:numCache>
                <c:formatCode>General</c:formatCode>
                <c:ptCount val="49"/>
                <c:pt idx="0">
                  <c:v>101927.844848632</c:v>
                </c:pt>
                <c:pt idx="1">
                  <c:v>102198.60076904199</c:v>
                </c:pt>
                <c:pt idx="2">
                  <c:v>102291.948852539</c:v>
                </c:pt>
                <c:pt idx="3">
                  <c:v>102736.395568847</c:v>
                </c:pt>
                <c:pt idx="4">
                  <c:v>104068.091125488</c:v>
                </c:pt>
                <c:pt idx="5">
                  <c:v>104149.608154296</c:v>
                </c:pt>
                <c:pt idx="6">
                  <c:v>103307.347412109</c:v>
                </c:pt>
                <c:pt idx="7">
                  <c:v>108921.089172363</c:v>
                </c:pt>
                <c:pt idx="8">
                  <c:v>109588.99261474601</c:v>
                </c:pt>
                <c:pt idx="9">
                  <c:v>109722.15576171799</c:v>
                </c:pt>
                <c:pt idx="10">
                  <c:v>109306.325073242</c:v>
                </c:pt>
                <c:pt idx="11">
                  <c:v>109725.299072265</c:v>
                </c:pt>
                <c:pt idx="12">
                  <c:v>108181.44989013601</c:v>
                </c:pt>
                <c:pt idx="13">
                  <c:v>109087.98645019501</c:v>
                </c:pt>
                <c:pt idx="14">
                  <c:v>110247.40997314399</c:v>
                </c:pt>
                <c:pt idx="15">
                  <c:v>113098.390808105</c:v>
                </c:pt>
                <c:pt idx="16">
                  <c:v>113108.86505126899</c:v>
                </c:pt>
                <c:pt idx="17">
                  <c:v>112980.0491333</c:v>
                </c:pt>
                <c:pt idx="18">
                  <c:v>113211.25122070299</c:v>
                </c:pt>
                <c:pt idx="19">
                  <c:v>115555.641174316</c:v>
                </c:pt>
                <c:pt idx="20">
                  <c:v>117127.386779785</c:v>
                </c:pt>
                <c:pt idx="21">
                  <c:v>116467.40234375</c:v>
                </c:pt>
                <c:pt idx="22">
                  <c:v>115167.358703613</c:v>
                </c:pt>
                <c:pt idx="23">
                  <c:v>115715.04699707001</c:v>
                </c:pt>
                <c:pt idx="24">
                  <c:v>115715.975646972</c:v>
                </c:pt>
                <c:pt idx="25">
                  <c:v>115106.19903564399</c:v>
                </c:pt>
                <c:pt idx="26">
                  <c:v>115056.476745605</c:v>
                </c:pt>
                <c:pt idx="27">
                  <c:v>115633.01544189399</c:v>
                </c:pt>
                <c:pt idx="28">
                  <c:v>116007.81463623</c:v>
                </c:pt>
                <c:pt idx="29">
                  <c:v>116165.849304199</c:v>
                </c:pt>
                <c:pt idx="30">
                  <c:v>117252.07855224601</c:v>
                </c:pt>
                <c:pt idx="31">
                  <c:v>116138.67889404199</c:v>
                </c:pt>
                <c:pt idx="32">
                  <c:v>116252.423400878</c:v>
                </c:pt>
                <c:pt idx="33">
                  <c:v>114757.837219238</c:v>
                </c:pt>
                <c:pt idx="34">
                  <c:v>111670.98083496001</c:v>
                </c:pt>
                <c:pt idx="35">
                  <c:v>113757.040100097</c:v>
                </c:pt>
                <c:pt idx="36">
                  <c:v>114024.647521972</c:v>
                </c:pt>
                <c:pt idx="37">
                  <c:v>115450.15106201101</c:v>
                </c:pt>
                <c:pt idx="38">
                  <c:v>115104.02130126899</c:v>
                </c:pt>
                <c:pt idx="39">
                  <c:v>116498.07098388601</c:v>
                </c:pt>
                <c:pt idx="40">
                  <c:v>119232.259216308</c:v>
                </c:pt>
                <c:pt idx="41">
                  <c:v>118146.211242675</c:v>
                </c:pt>
                <c:pt idx="42">
                  <c:v>117615.29022216699</c:v>
                </c:pt>
                <c:pt idx="43">
                  <c:v>118119.664001464</c:v>
                </c:pt>
                <c:pt idx="44">
                  <c:v>120226.3772583</c:v>
                </c:pt>
                <c:pt idx="45">
                  <c:v>123530.062561035</c:v>
                </c:pt>
                <c:pt idx="46">
                  <c:v>123523.937072753</c:v>
                </c:pt>
                <c:pt idx="47">
                  <c:v>125068.235168457</c:v>
                </c:pt>
                <c:pt idx="48">
                  <c:v>125068.235168457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3A-4B51-AEB1-80F838E3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366031"/>
        <c:axId val="1072366991"/>
      </c:scatterChart>
      <c:valAx>
        <c:axId val="1072366031"/>
        <c:scaling>
          <c:orientation val="minMax"/>
          <c:max val="45961"/>
          <c:min val="4588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66991"/>
        <c:crosses val="autoZero"/>
        <c:crossBetween val="midCat"/>
      </c:valAx>
      <c:valAx>
        <c:axId val="1072366991"/>
        <c:scaling>
          <c:orientation val="minMax"/>
          <c:min val="9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Portfolio  Value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66031"/>
        <c:crosses val="autoZero"/>
        <c:crossBetween val="midCat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[Mag7_Return.xlsx]Sharpie!PivotTable7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 Stock Final Return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Sharpie!$B$12:$B$13</c:f>
              <c:strCache>
                <c:ptCount val="1"/>
                <c:pt idx="0">
                  <c:v>Buy_n_Hold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Sharpie!$A$14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Sharpie!$B$14</c:f>
              <c:numCache>
                <c:formatCode>General</c:formatCode>
                <c:ptCount val="1"/>
                <c:pt idx="0">
                  <c:v>0.15724399999999999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0-4BBD-9EFC-B85B0A1E2490}"/>
            </c:ext>
          </c:extLst>
        </c:ser>
        <c:ser>
          <c:idx val="1"/>
          <c:order val="1"/>
          <c:tx>
            <c:strRef>
              <c:f>Sharpie!$C$12:$C$13</c:f>
              <c:strCache>
                <c:ptCount val="1"/>
                <c:pt idx="0">
                  <c:v>DDPG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Sharpie!$A$14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Sharpie!$C$14</c:f>
              <c:numCache>
                <c:formatCode>General</c:formatCode>
                <c:ptCount val="1"/>
                <c:pt idx="0">
                  <c:v>0.18895185839843701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0-4BBD-9EFC-B85B0A1E2490}"/>
            </c:ext>
          </c:extLst>
        </c:ser>
        <c:ser>
          <c:idx val="2"/>
          <c:order val="2"/>
          <c:tx>
            <c:strRef>
              <c:f>Sharpie!$D$12:$D$13</c:f>
              <c:strCache>
                <c:ptCount val="1"/>
                <c:pt idx="0">
                  <c:v>MDA2C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Sharpie!$A$14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Sharpie!$D$14</c:f>
              <c:numCache>
                <c:formatCode>General</c:formatCode>
                <c:ptCount val="1"/>
                <c:pt idx="0">
                  <c:v>0.20547954693603501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0-4BBD-9EFC-B85B0A1E2490}"/>
            </c:ext>
          </c:extLst>
        </c:ser>
        <c:ser>
          <c:idx val="3"/>
          <c:order val="3"/>
          <c:tx>
            <c:strRef>
              <c:f>Sharpie!$E$12:$E$13</c:f>
              <c:strCache>
                <c:ptCount val="1"/>
                <c:pt idx="0">
                  <c:v>MDREINFORCE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Sharpie!$A$14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Sharpie!$E$14</c:f>
              <c:numCache>
                <c:formatCode>General</c:formatCode>
                <c:ptCount val="1"/>
                <c:pt idx="0">
                  <c:v>0.11043414804077099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60-4BBD-9EFC-B85B0A1E2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404320"/>
        <c:axId val="580401920"/>
      </c:barChart>
      <c:catAx>
        <c:axId val="580404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0401920"/>
        <c:crosses val="autoZero"/>
        <c:auto val="1"/>
        <c:lblAlgn val="ctr"/>
        <c:lblOffset val="100"/>
        <c:noMultiLvlLbl val="0"/>
      </c:catAx>
      <c:valAx>
        <c:axId val="5804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04320"/>
        <c:crosses val="autoZero"/>
        <c:crossBetween val="between"/>
        <c:dispUnits>
          <c:custUnit val="1.0000000000000002E-2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%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[Mag7_Return.xlsx]Sharpie!PivotTable8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 Stock Sharpe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Sharpie!$B$25:$B$26</c:f>
              <c:strCache>
                <c:ptCount val="1"/>
                <c:pt idx="0">
                  <c:v>Buy_n_Hold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Sharpie!$A$27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Sharpie!$B$27</c:f>
              <c:numCache>
                <c:formatCode>General</c:formatCode>
                <c:ptCount val="1"/>
                <c:pt idx="0">
                  <c:v>3.06841310109832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4-4CA1-9BAE-079236FCA887}"/>
            </c:ext>
          </c:extLst>
        </c:ser>
        <c:ser>
          <c:idx val="1"/>
          <c:order val="1"/>
          <c:tx>
            <c:strRef>
              <c:f>Sharpie!$C$25:$C$26</c:f>
              <c:strCache>
                <c:ptCount val="1"/>
                <c:pt idx="0">
                  <c:v>DDPG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Sharpie!$A$27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Sharpie!$C$27</c:f>
              <c:numCache>
                <c:formatCode>General</c:formatCode>
                <c:ptCount val="1"/>
                <c:pt idx="0">
                  <c:v>4.85227511207788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4-4CA1-9BAE-079236FCA887}"/>
            </c:ext>
          </c:extLst>
        </c:ser>
        <c:ser>
          <c:idx val="2"/>
          <c:order val="2"/>
          <c:tx>
            <c:strRef>
              <c:f>Sharpie!$D$25:$D$26</c:f>
              <c:strCache>
                <c:ptCount val="1"/>
                <c:pt idx="0">
                  <c:v>MDA2C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Sharpie!$A$27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Sharpie!$D$27</c:f>
              <c:numCache>
                <c:formatCode>General</c:formatCode>
                <c:ptCount val="1"/>
                <c:pt idx="0">
                  <c:v>3.0108326573403899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4-4CA1-9BAE-079236FCA887}"/>
            </c:ext>
          </c:extLst>
        </c:ser>
        <c:ser>
          <c:idx val="3"/>
          <c:order val="3"/>
          <c:tx>
            <c:strRef>
              <c:f>Sharpie!$E$25:$E$26</c:f>
              <c:strCache>
                <c:ptCount val="1"/>
                <c:pt idx="0">
                  <c:v>MDREINFORCE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Sharpie!$A$27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Sharpie!$E$27</c:f>
              <c:numCache>
                <c:formatCode>General</c:formatCode>
                <c:ptCount val="1"/>
                <c:pt idx="0">
                  <c:v>2.7855380108282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4-4CA1-9BAE-079236FCA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697504"/>
        <c:axId val="936699904"/>
      </c:barChart>
      <c:catAx>
        <c:axId val="93669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6699904"/>
        <c:crosses val="autoZero"/>
        <c:auto val="1"/>
        <c:lblAlgn val="ctr"/>
        <c:lblOffset val="100"/>
        <c:noMultiLvlLbl val="0"/>
      </c:catAx>
      <c:valAx>
        <c:axId val="9366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Sharpie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[Mag7_Return.xlsx]Sharpie1!PivotTable4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Stock Sharpe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Sharpie1!$B$12:$B$13</c:f>
              <c:strCache>
                <c:ptCount val="1"/>
                <c:pt idx="0">
                  <c:v>Buy_n_Hold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Sharpie1!$B$14</c:f>
              <c:numCache>
                <c:formatCode>General</c:formatCode>
                <c:ptCount val="1"/>
                <c:pt idx="0">
                  <c:v>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5-4B79-8034-6A830948B45B}"/>
            </c:ext>
          </c:extLst>
        </c:ser>
        <c:ser>
          <c:idx val="1"/>
          <c:order val="1"/>
          <c:tx>
            <c:strRef>
              <c:f>Sharpie1!$C$12:$C$13</c:f>
              <c:strCache>
                <c:ptCount val="1"/>
                <c:pt idx="0">
                  <c:v>DDPG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Sharpie1!$C$14</c:f>
              <c:numCache>
                <c:formatCode>General</c:formatCode>
                <c:ptCount val="1"/>
                <c:pt idx="0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5-4B79-8034-6A830948B45B}"/>
            </c:ext>
          </c:extLst>
        </c:ser>
        <c:ser>
          <c:idx val="2"/>
          <c:order val="2"/>
          <c:tx>
            <c:strRef>
              <c:f>Sharpie1!$D$12:$D$13</c:f>
              <c:strCache>
                <c:ptCount val="1"/>
                <c:pt idx="0">
                  <c:v>DDQN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Sharpie1!$D$14</c:f>
              <c:numCache>
                <c:formatCode>General</c:formatCode>
                <c:ptCount val="1"/>
                <c:pt idx="0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5-4B79-8034-6A830948B45B}"/>
            </c:ext>
          </c:extLst>
        </c:ser>
        <c:ser>
          <c:idx val="3"/>
          <c:order val="3"/>
          <c:tx>
            <c:strRef>
              <c:f>Sharpie1!$E$12:$E$13</c:f>
              <c:strCache>
                <c:ptCount val="1"/>
                <c:pt idx="0">
                  <c:v>DQN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Sharpie1!$E$14</c:f>
              <c:numCache>
                <c:formatCode>General</c:formatCode>
                <c:ptCount val="1"/>
                <c:pt idx="0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35-4B79-8034-6A830948B45B}"/>
            </c:ext>
          </c:extLst>
        </c:ser>
        <c:ser>
          <c:idx val="4"/>
          <c:order val="4"/>
          <c:tx>
            <c:strRef>
              <c:f>Sharpie1!$F$12:$F$13</c:f>
              <c:strCache>
                <c:ptCount val="1"/>
                <c:pt idx="0">
                  <c:v>MDA2C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Sharpie1!$F$14</c:f>
              <c:numCache>
                <c:formatCode>General</c:formatCode>
                <c:ptCount val="1"/>
                <c:pt idx="0">
                  <c:v>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35-4B79-8034-6A830948B45B}"/>
            </c:ext>
          </c:extLst>
        </c:ser>
        <c:ser>
          <c:idx val="5"/>
          <c:order val="5"/>
          <c:tx>
            <c:strRef>
              <c:f>Sharpie1!$G$12:$G$13</c:f>
              <c:strCache>
                <c:ptCount val="1"/>
                <c:pt idx="0">
                  <c:v>MDREINFORCE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Sharpie1!$A$14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Sharpie1!$G$14</c:f>
              <c:numCache>
                <c:formatCode>General</c:formatCode>
                <c:ptCount val="1"/>
                <c:pt idx="0">
                  <c:v>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35-4B79-8034-6A830948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55567"/>
        <c:axId val="1533051247"/>
      </c:barChart>
      <c:catAx>
        <c:axId val="1533055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3051247"/>
        <c:crosses val="autoZero"/>
        <c:auto val="1"/>
        <c:lblAlgn val="ctr"/>
        <c:lblOffset val="100"/>
        <c:noMultiLvlLbl val="0"/>
      </c:catAx>
      <c:valAx>
        <c:axId val="15330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Sharpie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5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[Mag7_Return.xlsx]Sharpie1!PivotTable5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Stock Final Return Percentage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Sharpie1!$B$28:$B$29</c:f>
              <c:strCache>
                <c:ptCount val="1"/>
                <c:pt idx="0">
                  <c:v>Buy_n_Hold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Sharpie1!$B$30</c:f>
              <c:numCache>
                <c:formatCode>General</c:formatCode>
                <c:ptCount val="1"/>
                <c:pt idx="0">
                  <c:v>0.19920000000000002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8-485A-B2CA-889E08B194CA}"/>
            </c:ext>
          </c:extLst>
        </c:ser>
        <c:ser>
          <c:idx val="1"/>
          <c:order val="1"/>
          <c:tx>
            <c:strRef>
              <c:f>Sharpie1!$C$28:$C$29</c:f>
              <c:strCache>
                <c:ptCount val="1"/>
                <c:pt idx="0">
                  <c:v>DDPG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Sharpie1!$C$30</c:f>
              <c:numCache>
                <c:formatCode>General</c:formatCode>
                <c:ptCount val="1"/>
                <c:pt idx="0">
                  <c:v>0.1605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8-485A-B2CA-889E08B194CA}"/>
            </c:ext>
          </c:extLst>
        </c:ser>
        <c:ser>
          <c:idx val="2"/>
          <c:order val="2"/>
          <c:tx>
            <c:strRef>
              <c:f>Sharpie1!$D$28:$D$29</c:f>
              <c:strCache>
                <c:ptCount val="1"/>
                <c:pt idx="0">
                  <c:v>DDQN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Sharpie1!$D$30</c:f>
              <c:numCache>
                <c:formatCode>General</c:formatCode>
                <c:ptCount val="1"/>
                <c:pt idx="0">
                  <c:v>0.16190000000000002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8-485A-B2CA-889E08B194CA}"/>
            </c:ext>
          </c:extLst>
        </c:ser>
        <c:ser>
          <c:idx val="3"/>
          <c:order val="3"/>
          <c:tx>
            <c:strRef>
              <c:f>Sharpie1!$E$28:$E$29</c:f>
              <c:strCache>
                <c:ptCount val="1"/>
                <c:pt idx="0">
                  <c:v>DQN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Sharpie1!$E$30</c:f>
              <c:numCache>
                <c:formatCode>General</c:formatCode>
                <c:ptCount val="1"/>
                <c:pt idx="0">
                  <c:v>0.18350000000000002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A8-485A-B2CA-889E08B194CA}"/>
            </c:ext>
          </c:extLst>
        </c:ser>
        <c:ser>
          <c:idx val="4"/>
          <c:order val="4"/>
          <c:tx>
            <c:strRef>
              <c:f>Sharpie1!$F$28:$F$29</c:f>
              <c:strCache>
                <c:ptCount val="1"/>
                <c:pt idx="0">
                  <c:v>MDA2C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Sharpie1!$F$30</c:f>
              <c:numCache>
                <c:formatCode>General</c:formatCode>
                <c:ptCount val="1"/>
                <c:pt idx="0">
                  <c:v>0.1605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8-485A-B2CA-889E08B194CA}"/>
            </c:ext>
          </c:extLst>
        </c:ser>
        <c:ser>
          <c:idx val="5"/>
          <c:order val="5"/>
          <c:tx>
            <c:strRef>
              <c:f>Sharpie1!$G$28:$G$29</c:f>
              <c:strCache>
                <c:ptCount val="1"/>
                <c:pt idx="0">
                  <c:v>MDREINFORCE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Sharpie1!$A$30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Sharpie1!$G$30</c:f>
              <c:numCache>
                <c:formatCode>General</c:formatCode>
                <c:ptCount val="1"/>
                <c:pt idx="0">
                  <c:v>0.16239999999999999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A8-485A-B2CA-889E08B19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369151"/>
        <c:axId val="801372031"/>
      </c:barChart>
      <c:catAx>
        <c:axId val="801369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372031"/>
        <c:crosses val="autoZero"/>
        <c:auto val="1"/>
        <c:lblAlgn val="ctr"/>
        <c:lblOffset val="100"/>
        <c:noMultiLvlLbl val="0"/>
      </c:catAx>
      <c:valAx>
        <c:axId val="8013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Return 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69151"/>
        <c:crosses val="autoZero"/>
        <c:crossBetween val="between"/>
        <c:dispUnits>
          <c:custUnit val="1.0000000000000002E-2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%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595310</xdr:colOff>
      <xdr:row>3</xdr:row>
      <xdr:rowOff>23812</xdr:rowOff>
    </xdr:from>
    <xdr:to>
      <xdr:col>23</xdr:col>
      <xdr:colOff>0</xdr:colOff>
      <xdr:row>24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B9718-FFB8-6727-B05F-1EE457F4D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</xdr:colOff>
      <xdr:row>28</xdr:row>
      <xdr:rowOff>4762</xdr:rowOff>
    </xdr:from>
    <xdr:to>
      <xdr:col>23</xdr:col>
      <xdr:colOff>9525</xdr:colOff>
      <xdr:row>48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E1D8B5-B1D1-CB94-8550-BD26C371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581024</xdr:colOff>
      <xdr:row>8</xdr:row>
      <xdr:rowOff>71437</xdr:rowOff>
    </xdr:from>
    <xdr:to>
      <xdr:col>17</xdr:col>
      <xdr:colOff>590549</xdr:colOff>
      <xdr:row>22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D3C954-A422-9F60-6E0F-E9865FAFD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600074</xdr:colOff>
      <xdr:row>25</xdr:row>
      <xdr:rowOff>128587</xdr:rowOff>
    </xdr:from>
    <xdr:to>
      <xdr:col>17</xdr:col>
      <xdr:colOff>590549</xdr:colOff>
      <xdr:row>40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0D49A7-6A64-AEA9-A7F3-516A19F9B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9</xdr:row>
      <xdr:rowOff>157162</xdr:rowOff>
    </xdr:from>
    <xdr:to>
      <xdr:col>18</xdr:col>
      <xdr:colOff>285750</xdr:colOff>
      <xdr:row>24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581DB-D918-0DCF-9E36-C4875FC81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29</xdr:row>
      <xdr:rowOff>80962</xdr:rowOff>
    </xdr:from>
    <xdr:to>
      <xdr:col>18</xdr:col>
      <xdr:colOff>314325</xdr:colOff>
      <xdr:row>43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595BEC-E094-E773-5F87-F0E843F50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6.811059259257" createdVersion="8" refreshedVersion="8" minRefreshableVersion="3" recordCount="6" xr:uid="{D5982E65-DBC3-472C-8F5E-591C3E259652}">
  <cacheSource type="worksheet">
    <worksheetSource name="Table6"/>
  </cacheSource>
  <cacheFields count="6">
    <cacheField name="Model" numFmtId="0">
      <sharedItems count="6">
        <s v="MDA2C"/>
        <s v="DDPG"/>
        <s v="Buy_n_Hold"/>
        <s v="MDREINFORCE"/>
        <s v="DDQN"/>
        <s v="DQN"/>
      </sharedItems>
    </cacheField>
    <cacheField name="Total_Return_Pct" numFmtId="0">
      <sharedItems containsSemiMixedTypes="0" containsString="0" containsNumber="1" minValue="1.2795376281738199E-3" maxValue="0.20547954693603501"/>
    </cacheField>
    <cacheField name="Sharpe_Ratio" numFmtId="0">
      <sharedItems containsSemiMixedTypes="0" containsString="0" containsNumber="1" minValue="-19.269120857069399" maxValue="4.85227511207788"/>
    </cacheField>
    <cacheField name="Annualized_Return" numFmtId="0">
      <sharedItems containsSemiMixedTypes="0" containsString="0" containsNumber="1" minValue="6.6995000195435497E-3" maxValue="1.0257623772637401"/>
    </cacheField>
    <cacheField name="Annualized_Volatility" numFmtId="0">
      <sharedItems containsSemiMixedTypes="0" containsString="0" containsNumber="1" minValue="1.9876620352611901E-3" maxValue="0.32574456599992202"/>
    </cacheField>
    <cacheField name="Final_Value" numFmtId="0">
      <sharedItems containsSemiMixedTypes="0" containsString="0" containsNumber="1" minValue="1001279.53762817" maxValue="1205479.54693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7.52742604167" createdVersion="8" refreshedVersion="8" minRefreshableVersion="3" recordCount="6" xr:uid="{6881E5FA-3D3B-4CB6-91B3-52769A2F001C}">
  <cacheSource type="worksheet">
    <worksheetSource name="Table4"/>
  </cacheSource>
  <cacheFields count="3">
    <cacheField name="Model" numFmtId="0">
      <sharedItems count="6">
        <s v="MDA2C"/>
        <s v="DDPG"/>
        <s v="Buy_n_Hold"/>
        <s v="MDREINFORCE"/>
        <s v="DDQN"/>
        <s v="DQN"/>
      </sharedItems>
    </cacheField>
    <cacheField name="Total_Return_Rate" numFmtId="0">
      <sharedItems containsSemiMixedTypes="0" containsString="0" containsNumber="1" minValue="0.1605" maxValue="0.19920000000000002"/>
    </cacheField>
    <cacheField name="Sharpe_Ratio" numFmtId="0">
      <sharedItems containsSemiMixedTypes="0" containsString="0" containsNumber="1" minValue="3.56" maxValue="4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20547954693603501"/>
    <n v="3.0108326573403899"/>
    <n v="1.0257623772637401"/>
    <n v="0.32574456599992202"/>
    <n v="1205479.54693603"/>
  </r>
  <r>
    <x v="1"/>
    <n v="0.18895185839843701"/>
    <n v="4.85227511207788"/>
    <n v="0.83611950294864301"/>
    <n v="0.16304094155326301"/>
    <n v="1188951.85839843"/>
  </r>
  <r>
    <x v="2"/>
    <n v="0.15724399999999999"/>
    <n v="3.06841310109832"/>
    <n v="0.65196973513787704"/>
    <n v="0.197812261628206"/>
    <n v="1157244"/>
  </r>
  <r>
    <x v="3"/>
    <n v="0.11043414804077099"/>
    <n v="2.7855380108282"/>
    <n v="0.54591472588800005"/>
    <n v="0.17982692174394899"/>
    <n v="1110434.1480407701"/>
  </r>
  <r>
    <x v="4"/>
    <n v="1.2795376281738199E-3"/>
    <n v="-19.269120857069399"/>
    <n v="6.6995000195435497E-3"/>
    <n v="1.9876620352611901E-3"/>
    <n v="1001279.53762817"/>
  </r>
  <r>
    <x v="5"/>
    <n v="1.2795376281738199E-3"/>
    <n v="-19.269120857069399"/>
    <n v="6.6995000195435497E-3"/>
    <n v="1.9876620352611901E-3"/>
    <n v="1001279.537628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1605"/>
    <n v="3.56"/>
  </r>
  <r>
    <x v="1"/>
    <n v="0.1605"/>
    <n v="3.58"/>
  </r>
  <r>
    <x v="2"/>
    <n v="0.19920000000000002"/>
    <n v="4.03"/>
  </r>
  <r>
    <x v="3"/>
    <n v="0.16239999999999999"/>
    <n v="3.76"/>
  </r>
  <r>
    <x v="4"/>
    <n v="0.16190000000000002"/>
    <n v="3.77"/>
  </r>
  <r>
    <x v="5"/>
    <n v="0.18350000000000002"/>
    <n v="3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E825B-040F-4C7B-8A58-9EBE86B5DE9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F27" firstHeaderRow="1" firstDataRow="2" firstDataCol="1"/>
  <pivotFields count="6">
    <pivotField axis="axisCol" showAll="0">
      <items count="7">
        <item x="2"/>
        <item x="1"/>
        <item h="1" x="4"/>
        <item h="1" x="5"/>
        <item x="0"/>
        <item x="3"/>
        <item t="default"/>
      </items>
    </pivotField>
    <pivotField showAll="0"/>
    <pivotField dataField="1" showAll="0"/>
    <pivotField showAll="0"/>
    <pivotField showAll="0"/>
    <pivotField showAll="0"/>
  </pivotFields>
  <rowItems count="1">
    <i/>
  </rowItems>
  <colFields count="1">
    <field x="0"/>
  </colFields>
  <colItems count="5">
    <i>
      <x/>
    </i>
    <i>
      <x v="1"/>
    </i>
    <i>
      <x v="4"/>
    </i>
    <i>
      <x v="5"/>
    </i>
    <i t="grand">
      <x/>
    </i>
  </colItems>
  <dataFields count="1">
    <dataField name="Sum of Sharpe_Ratio" fld="2" baseField="0" baseItem="0"/>
  </dataFields>
  <formats count="1">
    <format dxfId="1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4FF7F-BF14-441B-B41F-09AB69E6073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F14" firstHeaderRow="1" firstDataRow="2" firstDataCol="1"/>
  <pivotFields count="6">
    <pivotField axis="axisCol" showAll="0">
      <items count="7">
        <item x="2"/>
        <item x="1"/>
        <item h="1" x="4"/>
        <item h="1" x="5"/>
        <item x="0"/>
        <item x="3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Fields count="1">
    <field x="0"/>
  </colFields>
  <colItems count="5">
    <i>
      <x/>
    </i>
    <i>
      <x v="1"/>
    </i>
    <i>
      <x v="4"/>
    </i>
    <i>
      <x v="5"/>
    </i>
    <i t="grand">
      <x/>
    </i>
  </colItems>
  <dataFields count="1">
    <dataField name="Sum of Total_Return_Pct" fld="1" baseField="0" baseItem="0"/>
  </dataFields>
  <formats count="1">
    <format dxfId="1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970B8-2BC2-41DE-856F-4F80B02CF66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8:H30" firstHeaderRow="1" firstDataRow="2" firstDataCol="1"/>
  <pivotFields count="3">
    <pivotField axis="axisCol" showAll="0">
      <items count="7">
        <item x="2"/>
        <item x="1"/>
        <item x="4"/>
        <item x="5"/>
        <item x="0"/>
        <item x="3"/>
        <item t="default"/>
      </items>
    </pivotField>
    <pivotField dataField="1" showAll="0"/>
    <pivotField showAll="0"/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Return_Rate" fld="1" baseField="0" baseItem="0"/>
  </dataFields>
  <formats count="1">
    <format dxfId="8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93A01-0890-4ACB-B9E0-4C55C552BB1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H14" firstHeaderRow="1" firstDataRow="2" firstDataCol="1"/>
  <pivotFields count="3">
    <pivotField axis="axisCol" showAll="0">
      <items count="7">
        <item x="2"/>
        <item x="1"/>
        <item x="4"/>
        <item x="5"/>
        <item x="0"/>
        <item x="3"/>
        <item t="default"/>
      </items>
    </pivotField>
    <pivotField showAll="0"/>
    <pivotField dataField="1" showAll="0"/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harpe_Ratio" fld="2" baseField="0" baseItem="0"/>
  </dataFields>
  <formats count="1">
    <format dxfId="9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CC7B8-19A9-42E2-836D-3C51650489ED}" name="Table1" displayName="Table1" ref="A1:H50" totalsRowShown="0">
  <autoFilter ref="A1:H50" xr:uid="{0EECC7B8-19A9-42E2-836D-3C51650489ED}"/>
  <tableColumns count="8">
    <tableColumn id="1" xr3:uid="{F30C9E18-7779-4B57-A24B-1BF31E479BE9}" name="Time_Step"/>
    <tableColumn id="8" xr3:uid="{D48EF248-B3FD-49AC-A819-FF631A809EB9}" name="Date" dataDxfId="12"/>
    <tableColumn id="2" xr3:uid="{B1B4F372-F8AC-4239-9C35-FD5043A5E5A2}" name="Buy_n_Hold"/>
    <tableColumn id="3" xr3:uid="{64648511-8E03-493F-9526-B5BAE896518F}" name="DDQN"/>
    <tableColumn id="4" xr3:uid="{DC96B5CC-EDCB-4118-91C1-EB41583FBD71}" name="DQN"/>
    <tableColumn id="5" xr3:uid="{150A1692-FDBC-440E-9258-F6B465B6B527}" name="A2C"/>
    <tableColumn id="6" xr3:uid="{259CE002-4CD6-411B-ACB1-657EB4C9A634}" name="REINFORCE"/>
    <tableColumn id="7" xr3:uid="{6EF15119-3C99-4C33-9801-B4C3098DAB2E}" name="DDP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EF6A10-E38A-433F-94E4-3B86E7C76DDE}" name="Table6" displayName="Table6" ref="A1:D7" totalsRowShown="0">
  <autoFilter ref="A1:D7" xr:uid="{83EF6A10-E38A-433F-94E4-3B86E7C76DDE}"/>
  <tableColumns count="4">
    <tableColumn id="1" xr3:uid="{48F345CC-8C77-4C15-B168-0796940F8FCF}" name="Model"/>
    <tableColumn id="2" xr3:uid="{CC5D913F-7524-4591-B5C3-BF7C9F27A022}" name="Final Return Rate"/>
    <tableColumn id="3" xr3:uid="{9AB2A629-74AB-46E4-B769-277C52890C47}" name="Sharpe Ratio"/>
    <tableColumn id="4" xr3:uid="{8A940A59-6862-4B8A-A05E-EADA4D9106D8}" name="Final Return Percentage">
      <calculatedColumnFormula>Table6[[#This Row],[Final Return Rate]]*100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3C72F0-DAF3-4A97-B895-60B6EB7B8506}" name="Table4" displayName="Table4" ref="A1:C7" totalsRowShown="0" headerRowDxfId="7" dataDxfId="5" headerRowBorderDxfId="6" tableBorderDxfId="4" totalsRowBorderDxfId="3">
  <autoFilter ref="A1:C7" xr:uid="{313C72F0-DAF3-4A97-B895-60B6EB7B8506}"/>
  <tableColumns count="3">
    <tableColumn id="1" xr3:uid="{923047B7-A0AE-4B76-B0B4-27E147D5F092}" name="Model" dataDxfId="2"/>
    <tableColumn id="2" xr3:uid="{378E3D1F-69D6-4393-92D3-5F1DA4BA7273}" name="Final Return Percentage" dataDxfId="1"/>
    <tableColumn id="3" xr3:uid="{3181D803-F359-421A-9C24-891E9B184881}" name="Sharpie Rat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157A-2A11-4C57-BBFD-97CA911B80C2}">
  <dimension ref="A1:H50"/>
  <sheetViews>
    <sheetView workbookViewId="0">
      <selection activeCell="F25" sqref="F25"/>
    </sheetView>
  </sheetViews>
  <sheetFormatPr defaultRowHeight="15" x14ac:dyDescent="0.25"/>
  <cols>
    <col min="1" max="1" width="12.5703125" customWidth="1"/>
    <col min="2" max="2" width="13.5703125" customWidth="1"/>
    <col min="3" max="4" width="12" bestFit="1" customWidth="1"/>
    <col min="6" max="6" width="13.85546875" bestFit="1" customWidth="1"/>
    <col min="8" max="8" width="9.42578125" bestFit="1" customWidth="1"/>
  </cols>
  <sheetData>
    <row r="1" spans="1:8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6</v>
      </c>
      <c r="G1" t="s">
        <v>5</v>
      </c>
      <c r="H1" t="s">
        <v>4</v>
      </c>
    </row>
    <row r="2" spans="1:8" x14ac:dyDescent="0.25">
      <c r="A2">
        <v>0</v>
      </c>
      <c r="B2" s="8">
        <v>45890</v>
      </c>
      <c r="C2">
        <v>102600.375</v>
      </c>
      <c r="D2">
        <v>100000.30100000001</v>
      </c>
      <c r="E2">
        <v>100000.30100000001</v>
      </c>
      <c r="F2">
        <v>104032.771316528</v>
      </c>
      <c r="G2">
        <v>101422.29321289</v>
      </c>
      <c r="H2">
        <v>101927.844848632</v>
      </c>
    </row>
    <row r="3" spans="1:8" x14ac:dyDescent="0.25">
      <c r="A3">
        <v>1</v>
      </c>
      <c r="B3" s="8">
        <v>45891</v>
      </c>
      <c r="C3">
        <v>103005.72</v>
      </c>
      <c r="D3">
        <v>100000.66499999999</v>
      </c>
      <c r="E3">
        <v>100000.66499999999</v>
      </c>
      <c r="F3">
        <v>105042.49905395501</v>
      </c>
      <c r="G3">
        <v>101863.1169281</v>
      </c>
      <c r="H3">
        <v>102198.60076904199</v>
      </c>
    </row>
    <row r="4" spans="1:8" x14ac:dyDescent="0.25">
      <c r="A4">
        <v>2</v>
      </c>
      <c r="B4" s="8">
        <v>45894</v>
      </c>
      <c r="C4">
        <v>103434.15</v>
      </c>
      <c r="D4">
        <v>100001.25290000001</v>
      </c>
      <c r="E4">
        <v>100001.25290000001</v>
      </c>
      <c r="F4">
        <v>105996.820449829</v>
      </c>
      <c r="G4">
        <v>102496.07554626399</v>
      </c>
      <c r="H4">
        <v>102291.948852539</v>
      </c>
    </row>
    <row r="5" spans="1:8" x14ac:dyDescent="0.25">
      <c r="A5">
        <v>3</v>
      </c>
      <c r="B5" s="8">
        <v>45895</v>
      </c>
      <c r="C5">
        <v>103456.806</v>
      </c>
      <c r="D5">
        <v>100001.18489999999</v>
      </c>
      <c r="E5">
        <v>100001.18489999999</v>
      </c>
      <c r="F5">
        <v>105858.732299804</v>
      </c>
      <c r="G5">
        <v>102664.012832641</v>
      </c>
      <c r="H5">
        <v>102736.395568847</v>
      </c>
    </row>
    <row r="6" spans="1:8" x14ac:dyDescent="0.25">
      <c r="A6">
        <v>4</v>
      </c>
      <c r="B6" s="8">
        <v>45896</v>
      </c>
      <c r="C6">
        <v>103921.394</v>
      </c>
      <c r="D6">
        <v>100000.47</v>
      </c>
      <c r="E6">
        <v>100000.47</v>
      </c>
      <c r="F6">
        <v>105967.46746826101</v>
      </c>
      <c r="G6">
        <v>102440.999755859</v>
      </c>
      <c r="H6">
        <v>104068.091125488</v>
      </c>
    </row>
    <row r="7" spans="1:8" x14ac:dyDescent="0.25">
      <c r="A7">
        <v>5</v>
      </c>
      <c r="B7" s="8">
        <v>45897</v>
      </c>
      <c r="C7">
        <v>102465.27499999999</v>
      </c>
      <c r="D7">
        <v>99996.876170000003</v>
      </c>
      <c r="E7">
        <v>99996.876170000003</v>
      </c>
      <c r="F7">
        <v>103996.615005493</v>
      </c>
      <c r="G7">
        <v>100388.146835327</v>
      </c>
      <c r="H7">
        <v>104149.608154296</v>
      </c>
    </row>
    <row r="8" spans="1:8" x14ac:dyDescent="0.25">
      <c r="A8">
        <v>6</v>
      </c>
      <c r="B8" s="8">
        <v>45898</v>
      </c>
      <c r="C8">
        <v>101371.7</v>
      </c>
      <c r="D8">
        <v>99994.496310000002</v>
      </c>
      <c r="E8">
        <v>99994.496310000002</v>
      </c>
      <c r="F8">
        <v>102707.282684326</v>
      </c>
      <c r="G8">
        <v>100375.678085327</v>
      </c>
      <c r="H8">
        <v>103307.347412109</v>
      </c>
    </row>
    <row r="9" spans="1:8" x14ac:dyDescent="0.25">
      <c r="A9">
        <v>7</v>
      </c>
      <c r="B9" s="8">
        <v>45902</v>
      </c>
      <c r="C9">
        <v>103592.39</v>
      </c>
      <c r="D9">
        <v>99994.368319999994</v>
      </c>
      <c r="E9">
        <v>99994.368319999994</v>
      </c>
      <c r="F9">
        <v>105560.76260375899</v>
      </c>
      <c r="G9">
        <v>102854.694885253</v>
      </c>
      <c r="H9">
        <v>108921.089172363</v>
      </c>
    </row>
    <row r="10" spans="1:8" x14ac:dyDescent="0.25">
      <c r="A10">
        <v>8</v>
      </c>
      <c r="B10" s="8">
        <v>45903</v>
      </c>
      <c r="C10">
        <v>104998.06</v>
      </c>
      <c r="D10">
        <v>99995.304269999993</v>
      </c>
      <c r="E10">
        <v>99995.304269999993</v>
      </c>
      <c r="F10">
        <v>107170.51890563899</v>
      </c>
      <c r="G10">
        <v>105393.416351318</v>
      </c>
      <c r="H10">
        <v>109588.99261474601</v>
      </c>
    </row>
    <row r="11" spans="1:8" x14ac:dyDescent="0.25">
      <c r="A11">
        <v>9</v>
      </c>
      <c r="B11" s="8">
        <v>45904</v>
      </c>
      <c r="C11">
        <v>104846.375</v>
      </c>
      <c r="D11">
        <v>99990.664529999995</v>
      </c>
      <c r="E11">
        <v>99990.664529999995</v>
      </c>
      <c r="F11">
        <v>108930.45935058501</v>
      </c>
      <c r="G11">
        <v>105137.00584411601</v>
      </c>
      <c r="H11">
        <v>109722.15576171799</v>
      </c>
    </row>
    <row r="12" spans="1:8" x14ac:dyDescent="0.25">
      <c r="A12">
        <v>10</v>
      </c>
      <c r="B12" s="8">
        <v>45905</v>
      </c>
      <c r="C12">
        <v>104898.56</v>
      </c>
      <c r="D12">
        <v>99992.083440000002</v>
      </c>
      <c r="E12">
        <v>99992.083440000002</v>
      </c>
      <c r="F12">
        <v>108287.93862915</v>
      </c>
      <c r="G12">
        <v>105800.534744262</v>
      </c>
      <c r="H12">
        <v>109306.325073242</v>
      </c>
    </row>
    <row r="13" spans="1:8" x14ac:dyDescent="0.25">
      <c r="A13">
        <v>11</v>
      </c>
      <c r="B13" s="8">
        <v>45908</v>
      </c>
      <c r="C13">
        <v>105719.38</v>
      </c>
      <c r="D13">
        <v>99995.023270000005</v>
      </c>
      <c r="E13">
        <v>99995.023270000005</v>
      </c>
      <c r="F13">
        <v>108531.983291625</v>
      </c>
      <c r="G13">
        <v>107385.349243164</v>
      </c>
      <c r="H13">
        <v>109725.299072265</v>
      </c>
    </row>
    <row r="14" spans="1:8" x14ac:dyDescent="0.25">
      <c r="A14">
        <v>12</v>
      </c>
      <c r="B14" s="8">
        <v>45909</v>
      </c>
      <c r="C14">
        <v>105060.42</v>
      </c>
      <c r="D14">
        <v>100003.5638</v>
      </c>
      <c r="E14">
        <v>100003.5638</v>
      </c>
      <c r="F14">
        <v>107271.106781005</v>
      </c>
      <c r="G14">
        <v>105508.45156860301</v>
      </c>
      <c r="H14">
        <v>108181.44989013601</v>
      </c>
    </row>
    <row r="15" spans="1:8" x14ac:dyDescent="0.25">
      <c r="A15">
        <v>13</v>
      </c>
      <c r="B15" s="8">
        <v>45910</v>
      </c>
      <c r="C15">
        <v>106250.75</v>
      </c>
      <c r="D15">
        <v>100003.3538</v>
      </c>
      <c r="E15">
        <v>100003.3538</v>
      </c>
      <c r="F15">
        <v>110782.460189819</v>
      </c>
      <c r="G15">
        <v>106098.670120239</v>
      </c>
      <c r="H15">
        <v>109087.98645019501</v>
      </c>
    </row>
    <row r="16" spans="1:8" x14ac:dyDescent="0.25">
      <c r="A16">
        <v>14</v>
      </c>
      <c r="B16" s="8">
        <v>45911</v>
      </c>
      <c r="C16">
        <v>108028.62</v>
      </c>
      <c r="D16">
        <v>100004.3288</v>
      </c>
      <c r="E16">
        <v>100004.3288</v>
      </c>
      <c r="F16">
        <v>115127.92309570299</v>
      </c>
      <c r="G16">
        <v>105975.421096801</v>
      </c>
      <c r="H16">
        <v>110247.40997314399</v>
      </c>
    </row>
    <row r="17" spans="1:8" x14ac:dyDescent="0.25">
      <c r="A17">
        <v>15</v>
      </c>
      <c r="B17" s="8">
        <v>45912</v>
      </c>
      <c r="C17">
        <v>110134.9</v>
      </c>
      <c r="D17">
        <v>100004.21679999999</v>
      </c>
      <c r="E17">
        <v>100004.21679999999</v>
      </c>
      <c r="F17">
        <v>118427.12557983299</v>
      </c>
      <c r="G17">
        <v>109653.59596252401</v>
      </c>
      <c r="H17">
        <v>113098.390808105</v>
      </c>
    </row>
    <row r="18" spans="1:8" x14ac:dyDescent="0.25">
      <c r="A18">
        <v>16</v>
      </c>
      <c r="B18" s="8">
        <v>45915</v>
      </c>
      <c r="C18">
        <v>110743.24</v>
      </c>
      <c r="D18">
        <v>99999.337809999997</v>
      </c>
      <c r="E18">
        <v>99999.337809999997</v>
      </c>
      <c r="F18">
        <v>120483.71810913</v>
      </c>
      <c r="G18">
        <v>110436.149780273</v>
      </c>
      <c r="H18">
        <v>113108.86505126899</v>
      </c>
    </row>
    <row r="19" spans="1:8" x14ac:dyDescent="0.25">
      <c r="A19">
        <v>17</v>
      </c>
      <c r="B19" s="8">
        <v>45916</v>
      </c>
      <c r="C19">
        <v>110302.34</v>
      </c>
      <c r="D19">
        <v>99991.075779999999</v>
      </c>
      <c r="E19">
        <v>99991.075779999999</v>
      </c>
      <c r="F19">
        <v>120908.088394165</v>
      </c>
      <c r="G19">
        <v>109829.197311401</v>
      </c>
      <c r="H19">
        <v>112980.0491333</v>
      </c>
    </row>
    <row r="20" spans="1:8" x14ac:dyDescent="0.25">
      <c r="A20">
        <v>18</v>
      </c>
      <c r="B20" s="8">
        <v>45917</v>
      </c>
      <c r="C20">
        <v>110512.46</v>
      </c>
      <c r="D20">
        <v>100002.3808</v>
      </c>
      <c r="E20">
        <v>100002.3808</v>
      </c>
      <c r="F20">
        <v>119573.21510314901</v>
      </c>
      <c r="G20">
        <v>110553.24092102</v>
      </c>
      <c r="H20">
        <v>113211.25122070299</v>
      </c>
    </row>
    <row r="21" spans="1:8" x14ac:dyDescent="0.25">
      <c r="A21">
        <v>19</v>
      </c>
      <c r="B21" s="8">
        <v>45918</v>
      </c>
      <c r="C21">
        <v>111884.15</v>
      </c>
      <c r="D21">
        <v>100003.2408</v>
      </c>
      <c r="E21">
        <v>100003.2408</v>
      </c>
      <c r="F21">
        <v>121881.16859436</v>
      </c>
      <c r="G21">
        <v>110993.90107727</v>
      </c>
      <c r="H21">
        <v>115555.641174316</v>
      </c>
    </row>
    <row r="22" spans="1:8" x14ac:dyDescent="0.25">
      <c r="A22">
        <v>20</v>
      </c>
      <c r="B22" s="8">
        <v>45919</v>
      </c>
      <c r="C22">
        <v>112737.39</v>
      </c>
      <c r="D22">
        <v>100017.81479999999</v>
      </c>
      <c r="E22">
        <v>100017.81479999999</v>
      </c>
      <c r="F22">
        <v>123600.983901977</v>
      </c>
      <c r="G22">
        <v>111014.252090454</v>
      </c>
      <c r="H22">
        <v>117127.386779785</v>
      </c>
    </row>
    <row r="23" spans="1:8" x14ac:dyDescent="0.25">
      <c r="A23">
        <v>21</v>
      </c>
      <c r="B23" s="8">
        <v>45922</v>
      </c>
      <c r="C23">
        <v>110992.22</v>
      </c>
      <c r="D23">
        <v>100006.4188</v>
      </c>
      <c r="E23">
        <v>100006.4188</v>
      </c>
      <c r="F23">
        <v>121516.293273925</v>
      </c>
      <c r="G23">
        <v>109429.869857788</v>
      </c>
      <c r="H23">
        <v>116467.40234375</v>
      </c>
    </row>
    <row r="24" spans="1:8" x14ac:dyDescent="0.25">
      <c r="A24">
        <v>22</v>
      </c>
      <c r="B24" s="8">
        <v>45923</v>
      </c>
      <c r="C24">
        <v>111266.4</v>
      </c>
      <c r="D24">
        <v>100003.06080000001</v>
      </c>
      <c r="E24">
        <v>100003.06080000001</v>
      </c>
      <c r="F24">
        <v>123560.23529052699</v>
      </c>
      <c r="G24">
        <v>109156.212341308</v>
      </c>
      <c r="H24">
        <v>115167.358703613</v>
      </c>
    </row>
    <row r="25" spans="1:8" x14ac:dyDescent="0.25">
      <c r="A25">
        <v>23</v>
      </c>
      <c r="B25" s="8">
        <v>45924</v>
      </c>
      <c r="C25">
        <v>110204.2</v>
      </c>
      <c r="D25">
        <v>100004.78879999999</v>
      </c>
      <c r="E25">
        <v>100004.78879999999</v>
      </c>
      <c r="F25">
        <v>120722.484786987</v>
      </c>
      <c r="G25">
        <v>108737.53434753401</v>
      </c>
      <c r="H25">
        <v>115715.04699707001</v>
      </c>
    </row>
    <row r="26" spans="1:8" x14ac:dyDescent="0.25">
      <c r="A26">
        <v>24</v>
      </c>
      <c r="B26" s="8">
        <v>45925</v>
      </c>
      <c r="C26">
        <v>111098.88</v>
      </c>
      <c r="D26">
        <v>100006.03879999999</v>
      </c>
      <c r="E26">
        <v>100006.03879999999</v>
      </c>
      <c r="F26">
        <v>123370.57156372</v>
      </c>
      <c r="G26">
        <v>108474.84082031201</v>
      </c>
      <c r="H26">
        <v>115715.975646972</v>
      </c>
    </row>
    <row r="27" spans="1:8" x14ac:dyDescent="0.25">
      <c r="A27">
        <v>25</v>
      </c>
      <c r="B27" s="8">
        <v>45926</v>
      </c>
      <c r="C27">
        <v>111515.46</v>
      </c>
      <c r="D27">
        <v>100015.5548</v>
      </c>
      <c r="E27">
        <v>100015.5548</v>
      </c>
      <c r="F27">
        <v>123793.01019287101</v>
      </c>
      <c r="G27">
        <v>107801.065567016</v>
      </c>
      <c r="H27">
        <v>115106.19903564399</v>
      </c>
    </row>
    <row r="28" spans="1:8" x14ac:dyDescent="0.25">
      <c r="A28">
        <v>26</v>
      </c>
      <c r="B28" s="8">
        <v>45929</v>
      </c>
      <c r="C28">
        <v>111666.85</v>
      </c>
      <c r="D28">
        <v>100028.32580000001</v>
      </c>
      <c r="E28">
        <v>100028.32580000001</v>
      </c>
      <c r="F28">
        <v>123718.998046875</v>
      </c>
      <c r="G28">
        <v>107333.38897705</v>
      </c>
      <c r="H28">
        <v>115056.476745605</v>
      </c>
    </row>
    <row r="29" spans="1:8" x14ac:dyDescent="0.25">
      <c r="A29">
        <v>27</v>
      </c>
      <c r="B29" s="8">
        <v>45930</v>
      </c>
      <c r="C29">
        <v>112347.98</v>
      </c>
      <c r="D29">
        <v>100030.1738</v>
      </c>
      <c r="E29">
        <v>100030.1738</v>
      </c>
      <c r="F29">
        <v>126211.252273559</v>
      </c>
      <c r="G29">
        <v>107552.289260864</v>
      </c>
      <c r="H29">
        <v>115633.01544189399</v>
      </c>
    </row>
    <row r="30" spans="1:8" x14ac:dyDescent="0.25">
      <c r="A30">
        <v>28</v>
      </c>
      <c r="B30" s="8">
        <v>45931</v>
      </c>
      <c r="C30">
        <v>111788.9</v>
      </c>
      <c r="D30">
        <v>100034.95879999999</v>
      </c>
      <c r="E30">
        <v>100034.95879999999</v>
      </c>
      <c r="F30">
        <v>123050.04560852</v>
      </c>
      <c r="G30">
        <v>108414.431564331</v>
      </c>
      <c r="H30">
        <v>116007.81463623</v>
      </c>
    </row>
    <row r="31" spans="1:8" x14ac:dyDescent="0.25">
      <c r="A31">
        <v>29</v>
      </c>
      <c r="B31" s="8">
        <v>45932</v>
      </c>
      <c r="C31">
        <v>110982.06</v>
      </c>
      <c r="D31">
        <v>100031.1488</v>
      </c>
      <c r="E31">
        <v>100031.1488</v>
      </c>
      <c r="F31">
        <v>121886.604156494</v>
      </c>
      <c r="G31">
        <v>108029.14706420799</v>
      </c>
      <c r="H31">
        <v>116165.849304199</v>
      </c>
    </row>
    <row r="32" spans="1:8" x14ac:dyDescent="0.25">
      <c r="A32">
        <v>30</v>
      </c>
      <c r="B32" s="8">
        <v>45933</v>
      </c>
      <c r="C32">
        <v>112642.55</v>
      </c>
      <c r="D32">
        <v>100024.70080000001</v>
      </c>
      <c r="E32">
        <v>100024.70080000001</v>
      </c>
      <c r="F32">
        <v>125747.20759582501</v>
      </c>
      <c r="G32">
        <v>108210.49124145501</v>
      </c>
      <c r="H32">
        <v>117252.07855224601</v>
      </c>
    </row>
    <row r="33" spans="1:8" x14ac:dyDescent="0.25">
      <c r="A33">
        <v>31</v>
      </c>
      <c r="B33" s="8">
        <v>45936</v>
      </c>
      <c r="C33">
        <v>111231.12</v>
      </c>
      <c r="D33">
        <v>100023.1008</v>
      </c>
      <c r="E33">
        <v>100023.1008</v>
      </c>
      <c r="F33">
        <v>122504.215194702</v>
      </c>
      <c r="G33">
        <v>108069.138916015</v>
      </c>
      <c r="H33">
        <v>116138.67889404199</v>
      </c>
    </row>
    <row r="34" spans="1:8" x14ac:dyDescent="0.25">
      <c r="A34">
        <v>32</v>
      </c>
      <c r="B34" s="8">
        <v>45937</v>
      </c>
      <c r="C34">
        <v>112170.21</v>
      </c>
      <c r="D34">
        <v>100036.5318</v>
      </c>
      <c r="E34">
        <v>100036.5318</v>
      </c>
      <c r="F34">
        <v>123738.794784545</v>
      </c>
      <c r="G34">
        <v>108733.67086791901</v>
      </c>
      <c r="H34">
        <v>116252.423400878</v>
      </c>
    </row>
    <row r="35" spans="1:8" x14ac:dyDescent="0.25">
      <c r="A35">
        <v>33</v>
      </c>
      <c r="B35" s="8">
        <v>45938</v>
      </c>
      <c r="C35">
        <v>112231.48</v>
      </c>
      <c r="D35">
        <v>100048.29580000001</v>
      </c>
      <c r="E35">
        <v>100048.29580000001</v>
      </c>
      <c r="F35">
        <v>123006.922195434</v>
      </c>
      <c r="G35">
        <v>107867.823379516</v>
      </c>
      <c r="H35">
        <v>114757.837219238</v>
      </c>
    </row>
    <row r="36" spans="1:8" x14ac:dyDescent="0.25">
      <c r="A36">
        <v>34</v>
      </c>
      <c r="B36" s="8">
        <v>45939</v>
      </c>
      <c r="C36">
        <v>107965.45</v>
      </c>
      <c r="D36">
        <v>100015.36079999999</v>
      </c>
      <c r="E36">
        <v>100015.36079999999</v>
      </c>
      <c r="F36">
        <v>117574.111251831</v>
      </c>
      <c r="G36">
        <v>102728.133132934</v>
      </c>
      <c r="H36">
        <v>111670.98083496001</v>
      </c>
    </row>
    <row r="37" spans="1:8" x14ac:dyDescent="0.25">
      <c r="A37">
        <v>35</v>
      </c>
      <c r="B37" s="8">
        <v>45940</v>
      </c>
      <c r="C37">
        <v>110608.1</v>
      </c>
      <c r="D37">
        <v>100033.9368</v>
      </c>
      <c r="E37">
        <v>100033.9368</v>
      </c>
      <c r="F37">
        <v>121960.498901367</v>
      </c>
      <c r="G37">
        <v>104337.558227539</v>
      </c>
      <c r="H37">
        <v>113757.040100097</v>
      </c>
    </row>
    <row r="38" spans="1:8" x14ac:dyDescent="0.25">
      <c r="A38">
        <v>36</v>
      </c>
      <c r="B38" s="8">
        <v>45943</v>
      </c>
      <c r="C38">
        <v>109347.26</v>
      </c>
      <c r="D38">
        <v>100003.2638</v>
      </c>
      <c r="E38">
        <v>100003.2638</v>
      </c>
      <c r="F38">
        <v>120686.459365844</v>
      </c>
      <c r="G38">
        <v>103590.74244689901</v>
      </c>
      <c r="H38">
        <v>114024.647521972</v>
      </c>
    </row>
    <row r="39" spans="1:8" x14ac:dyDescent="0.25">
      <c r="A39">
        <v>37</v>
      </c>
      <c r="B39" s="8">
        <v>45944</v>
      </c>
      <c r="C39">
        <v>110209.22</v>
      </c>
      <c r="D39">
        <v>100002.50380000001</v>
      </c>
      <c r="E39">
        <v>100002.50380000001</v>
      </c>
      <c r="F39">
        <v>121961.650848388</v>
      </c>
      <c r="G39">
        <v>103714.63714599601</v>
      </c>
      <c r="H39">
        <v>115450.15106201101</v>
      </c>
    </row>
    <row r="40" spans="1:8" x14ac:dyDescent="0.25">
      <c r="A40">
        <v>38</v>
      </c>
      <c r="B40" s="8">
        <v>45945</v>
      </c>
      <c r="C40">
        <v>109767.64</v>
      </c>
      <c r="D40">
        <v>100010.2258</v>
      </c>
      <c r="E40">
        <v>100010.2258</v>
      </c>
      <c r="F40">
        <v>120770.24635314901</v>
      </c>
      <c r="G40">
        <v>103020.966720581</v>
      </c>
      <c r="H40">
        <v>115104.02130126899</v>
      </c>
    </row>
    <row r="41" spans="1:8" x14ac:dyDescent="0.25">
      <c r="A41">
        <v>39</v>
      </c>
      <c r="B41" s="8">
        <v>45946</v>
      </c>
      <c r="C41">
        <v>110850.76</v>
      </c>
      <c r="D41">
        <v>100015.8658</v>
      </c>
      <c r="E41">
        <v>100015.8658</v>
      </c>
      <c r="F41">
        <v>122708.74340820299</v>
      </c>
      <c r="G41">
        <v>105032.450119018</v>
      </c>
      <c r="H41">
        <v>116498.07098388601</v>
      </c>
    </row>
    <row r="42" spans="1:8" x14ac:dyDescent="0.25">
      <c r="A42">
        <v>40</v>
      </c>
      <c r="B42" s="8">
        <v>45947</v>
      </c>
      <c r="C42">
        <v>112637.75999999999</v>
      </c>
      <c r="D42">
        <v>100013.4878</v>
      </c>
      <c r="E42">
        <v>100013.4878</v>
      </c>
      <c r="F42">
        <v>125254.09109497</v>
      </c>
      <c r="G42">
        <v>109167.643478393</v>
      </c>
      <c r="H42">
        <v>119232.259216308</v>
      </c>
    </row>
    <row r="43" spans="1:8" x14ac:dyDescent="0.25">
      <c r="A43">
        <v>41</v>
      </c>
      <c r="B43" s="8">
        <v>45950</v>
      </c>
      <c r="C43">
        <v>112302.25</v>
      </c>
      <c r="D43">
        <v>100007.2718</v>
      </c>
      <c r="E43">
        <v>100007.2718</v>
      </c>
      <c r="F43">
        <v>125515.286773681</v>
      </c>
      <c r="G43">
        <v>109375.943527221</v>
      </c>
      <c r="H43">
        <v>118146.211242675</v>
      </c>
    </row>
    <row r="44" spans="1:8" x14ac:dyDescent="0.25">
      <c r="A44">
        <v>42</v>
      </c>
      <c r="B44" s="8">
        <v>45951</v>
      </c>
      <c r="C44">
        <v>111703.74</v>
      </c>
      <c r="D44">
        <v>100003.4878</v>
      </c>
      <c r="E44">
        <v>100003.4878</v>
      </c>
      <c r="F44">
        <v>124020.200531005</v>
      </c>
      <c r="G44">
        <v>107847.92353820799</v>
      </c>
      <c r="H44">
        <v>117615.29022216699</v>
      </c>
    </row>
    <row r="45" spans="1:8" x14ac:dyDescent="0.25">
      <c r="A45">
        <v>43</v>
      </c>
      <c r="B45" s="8">
        <v>45952</v>
      </c>
      <c r="C45">
        <v>112689.31</v>
      </c>
      <c r="D45">
        <v>100011.7598</v>
      </c>
      <c r="E45">
        <v>100011.7598</v>
      </c>
      <c r="F45">
        <v>125087.829193115</v>
      </c>
      <c r="G45">
        <v>108169.060592651</v>
      </c>
      <c r="H45">
        <v>118119.664001464</v>
      </c>
    </row>
    <row r="46" spans="1:8" x14ac:dyDescent="0.25">
      <c r="A46">
        <v>44</v>
      </c>
      <c r="B46" s="8">
        <v>45953</v>
      </c>
      <c r="C46">
        <v>113410.04</v>
      </c>
      <c r="D46">
        <v>100030.2098</v>
      </c>
      <c r="E46">
        <v>100030.2098</v>
      </c>
      <c r="F46">
        <v>127435.246002197</v>
      </c>
      <c r="G46">
        <v>109217.036087036</v>
      </c>
      <c r="H46">
        <v>120226.3772583</v>
      </c>
    </row>
    <row r="47" spans="1:8" x14ac:dyDescent="0.25">
      <c r="A47">
        <v>45</v>
      </c>
      <c r="B47" s="8">
        <v>45954</v>
      </c>
      <c r="C47">
        <v>116364.1</v>
      </c>
      <c r="D47">
        <v>100054.2678</v>
      </c>
      <c r="E47">
        <v>100054.2678</v>
      </c>
      <c r="F47">
        <v>130271.949600219</v>
      </c>
      <c r="G47">
        <v>111937.511886596</v>
      </c>
      <c r="H47">
        <v>123530.062561035</v>
      </c>
    </row>
    <row r="48" spans="1:8" x14ac:dyDescent="0.25">
      <c r="A48">
        <v>46</v>
      </c>
      <c r="B48" s="8">
        <v>45957</v>
      </c>
      <c r="C48">
        <v>117846.69</v>
      </c>
      <c r="D48">
        <v>100099.1058</v>
      </c>
      <c r="E48">
        <v>100099.1058</v>
      </c>
      <c r="F48">
        <v>130625.222824096</v>
      </c>
      <c r="G48">
        <v>111891.808349609</v>
      </c>
      <c r="H48">
        <v>123523.937072753</v>
      </c>
    </row>
    <row r="49" spans="1:8" x14ac:dyDescent="0.25">
      <c r="A49">
        <v>47</v>
      </c>
      <c r="B49" s="8">
        <v>45958</v>
      </c>
      <c r="C49">
        <v>118990.22</v>
      </c>
      <c r="D49">
        <v>100127.9538</v>
      </c>
      <c r="E49">
        <v>100127.9538</v>
      </c>
      <c r="F49">
        <v>132284.143218994</v>
      </c>
      <c r="G49">
        <v>114213.116607666</v>
      </c>
      <c r="H49">
        <v>125068.235168457</v>
      </c>
    </row>
    <row r="50" spans="1:8" x14ac:dyDescent="0.25">
      <c r="A50">
        <v>48</v>
      </c>
      <c r="B50" s="8">
        <v>45960</v>
      </c>
      <c r="C50">
        <v>115724.4</v>
      </c>
      <c r="D50">
        <v>100127.9538</v>
      </c>
      <c r="E50">
        <v>100127.9538</v>
      </c>
      <c r="F50">
        <v>132284.143218994</v>
      </c>
      <c r="G50">
        <v>114213.116607666</v>
      </c>
      <c r="H50">
        <v>125068.235168457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994-3797-462D-82EF-5DF2E8179057}">
  <dimension ref="A1:F27"/>
  <sheetViews>
    <sheetView tabSelected="1" workbookViewId="0">
      <selection activeCell="D2" sqref="D2"/>
    </sheetView>
  </sheetViews>
  <sheetFormatPr defaultRowHeight="15" x14ac:dyDescent="0.25"/>
  <cols>
    <col min="1" max="1" width="13.85546875" bestFit="1" customWidth="1"/>
    <col min="2" max="2" width="18.85546875" bestFit="1" customWidth="1"/>
    <col min="3" max="3" width="14.7109375" bestFit="1" customWidth="1"/>
    <col min="4" max="4" width="12" bestFit="1" customWidth="1"/>
    <col min="5" max="5" width="14.85546875" bestFit="1" customWidth="1"/>
    <col min="6" max="6" width="12" bestFit="1" customWidth="1"/>
    <col min="7" max="7" width="14.85546875" bestFit="1" customWidth="1"/>
    <col min="8" max="8" width="12.7109375" bestFit="1" customWidth="1"/>
  </cols>
  <sheetData>
    <row r="1" spans="1:6" x14ac:dyDescent="0.25">
      <c r="A1" t="s">
        <v>9</v>
      </c>
      <c r="B1" s="6" t="s">
        <v>19</v>
      </c>
      <c r="C1" t="s">
        <v>16</v>
      </c>
      <c r="D1" t="s">
        <v>15</v>
      </c>
    </row>
    <row r="2" spans="1:6" x14ac:dyDescent="0.25">
      <c r="A2" t="s">
        <v>7</v>
      </c>
      <c r="B2">
        <v>0.32284143218994099</v>
      </c>
      <c r="C2">
        <v>4.38536062803131</v>
      </c>
      <c r="D2">
        <f>Table6[[#This Row],[Final Return Rate]]*100</f>
        <v>32.284143218994096</v>
      </c>
    </row>
    <row r="3" spans="1:6" x14ac:dyDescent="0.25">
      <c r="A3" t="s">
        <v>4</v>
      </c>
      <c r="B3">
        <v>0.25068235168456998</v>
      </c>
      <c r="C3">
        <v>5.1077547237426897</v>
      </c>
      <c r="D3">
        <f>Table6[[#This Row],[Final Return Rate]]*100</f>
        <v>25.068235168456997</v>
      </c>
    </row>
    <row r="4" spans="1:6" x14ac:dyDescent="0.25">
      <c r="A4" t="s">
        <v>1</v>
      </c>
      <c r="B4">
        <v>0.157243999999999</v>
      </c>
      <c r="C4">
        <v>3.0855120478786202</v>
      </c>
      <c r="D4">
        <f>Table6[[#This Row],[Final Return Rate]]*100</f>
        <v>15.7243999999999</v>
      </c>
    </row>
    <row r="5" spans="1:6" x14ac:dyDescent="0.25">
      <c r="A5" t="s">
        <v>8</v>
      </c>
      <c r="B5">
        <v>0.14213116607665999</v>
      </c>
      <c r="C5">
        <v>2.6679172562144799</v>
      </c>
      <c r="D5">
        <f>Table6[[#This Row],[Final Return Rate]]*100</f>
        <v>14.213116607665999</v>
      </c>
    </row>
    <row r="6" spans="1:6" x14ac:dyDescent="0.25">
      <c r="A6" t="s">
        <v>2</v>
      </c>
      <c r="B6">
        <v>1.2795380000000199E-3</v>
      </c>
      <c r="C6">
        <v>-15.629280247808399</v>
      </c>
      <c r="D6">
        <f>Table6[[#This Row],[Final Return Rate]]*100</f>
        <v>0.127953800000002</v>
      </c>
    </row>
    <row r="7" spans="1:6" x14ac:dyDescent="0.25">
      <c r="A7" t="s">
        <v>3</v>
      </c>
      <c r="B7">
        <v>1.2795380000000199E-3</v>
      </c>
      <c r="C7">
        <v>-15.629280247808399</v>
      </c>
      <c r="D7">
        <f>Table6[[#This Row],[Final Return Rate]]*100</f>
        <v>0.127953800000002</v>
      </c>
    </row>
    <row r="12" spans="1:6" x14ac:dyDescent="0.25">
      <c r="B12" s="1" t="s">
        <v>11</v>
      </c>
    </row>
    <row r="13" spans="1:6" x14ac:dyDescent="0.25">
      <c r="B13" t="s">
        <v>1</v>
      </c>
      <c r="C13" t="s">
        <v>4</v>
      </c>
      <c r="D13" t="s">
        <v>7</v>
      </c>
      <c r="E13" t="s">
        <v>8</v>
      </c>
      <c r="F13" t="s">
        <v>12</v>
      </c>
    </row>
    <row r="14" spans="1:6" ht="45" x14ac:dyDescent="0.25">
      <c r="A14" s="6" t="s">
        <v>13</v>
      </c>
      <c r="B14">
        <v>0.15724399999999999</v>
      </c>
      <c r="C14">
        <v>0.18895185839843701</v>
      </c>
      <c r="D14">
        <v>0.20547954693603501</v>
      </c>
      <c r="E14">
        <v>0.11043414804077099</v>
      </c>
      <c r="F14">
        <v>0.66210955337524302</v>
      </c>
    </row>
    <row r="25" spans="1:6" x14ac:dyDescent="0.25">
      <c r="B25" s="1" t="s">
        <v>11</v>
      </c>
    </row>
    <row r="26" spans="1:6" x14ac:dyDescent="0.25">
      <c r="B26" t="s">
        <v>1</v>
      </c>
      <c r="C26" t="s">
        <v>4</v>
      </c>
      <c r="D26" t="s">
        <v>7</v>
      </c>
      <c r="E26" t="s">
        <v>8</v>
      </c>
      <c r="F26" t="s">
        <v>12</v>
      </c>
    </row>
    <row r="27" spans="1:6" ht="30" x14ac:dyDescent="0.25">
      <c r="A27" s="6" t="s">
        <v>10</v>
      </c>
      <c r="B27">
        <v>3.06841310109832</v>
      </c>
      <c r="C27">
        <v>4.85227511207788</v>
      </c>
      <c r="D27">
        <v>3.0108326573403899</v>
      </c>
      <c r="E27">
        <v>2.7855380108282</v>
      </c>
      <c r="F27">
        <v>13.717058881344789</v>
      </c>
    </row>
  </sheetData>
  <phoneticPr fontId="2" type="noConversion"/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D4C-B348-4C64-8E57-560462989E7D}">
  <dimension ref="A1:H30"/>
  <sheetViews>
    <sheetView zoomScale="115" zoomScaleNormal="115" workbookViewId="0">
      <selection activeCell="E2" sqref="E2:E7"/>
    </sheetView>
  </sheetViews>
  <sheetFormatPr defaultRowHeight="15" x14ac:dyDescent="0.25"/>
  <cols>
    <col min="1" max="1" width="15.7109375" bestFit="1" customWidth="1"/>
    <col min="2" max="2" width="17" customWidth="1"/>
    <col min="3" max="3" width="15.42578125" bestFit="1" customWidth="1"/>
    <col min="4" max="5" width="7" bestFit="1" customWidth="1"/>
    <col min="6" max="6" width="7.5703125" bestFit="1" customWidth="1"/>
    <col min="7" max="7" width="14.85546875" bestFit="1" customWidth="1"/>
    <col min="8" max="8" width="11.28515625" bestFit="1" customWidth="1"/>
  </cols>
  <sheetData>
    <row r="1" spans="1:8" ht="30" x14ac:dyDescent="0.25">
      <c r="A1" s="4" t="s">
        <v>9</v>
      </c>
      <c r="B1" s="7" t="s">
        <v>15</v>
      </c>
      <c r="C1" s="4" t="s">
        <v>17</v>
      </c>
    </row>
    <row r="2" spans="1:8" x14ac:dyDescent="0.25">
      <c r="A2" s="2" t="s">
        <v>7</v>
      </c>
      <c r="B2" s="2">
        <f>16.05/100</f>
        <v>0.1605</v>
      </c>
      <c r="C2" s="2">
        <v>3.56</v>
      </c>
      <c r="E2">
        <f>Table4[[#This Row],[Sharpie Ratio]]*3.75/4.5</f>
        <v>2.9666666666666668</v>
      </c>
    </row>
    <row r="3" spans="1:8" x14ac:dyDescent="0.25">
      <c r="A3" s="3" t="s">
        <v>4</v>
      </c>
      <c r="B3" s="3">
        <f>16.05/100</f>
        <v>0.1605</v>
      </c>
      <c r="C3" s="3">
        <v>3.58</v>
      </c>
      <c r="E3">
        <f>Table4[[#This Row],[Sharpie Ratio]]*3.75/4.5</f>
        <v>2.9833333333333334</v>
      </c>
    </row>
    <row r="4" spans="1:8" x14ac:dyDescent="0.25">
      <c r="A4" s="2" t="s">
        <v>1</v>
      </c>
      <c r="B4" s="2">
        <f>19.92/100</f>
        <v>0.19920000000000002</v>
      </c>
      <c r="C4" s="2">
        <v>4.03</v>
      </c>
      <c r="E4">
        <f>Table4[[#This Row],[Sharpie Ratio]]*3.75/4.5</f>
        <v>3.3583333333333334</v>
      </c>
    </row>
    <row r="5" spans="1:8" x14ac:dyDescent="0.25">
      <c r="A5" s="3" t="s">
        <v>8</v>
      </c>
      <c r="B5" s="3">
        <f>16.24/100</f>
        <v>0.16239999999999999</v>
      </c>
      <c r="C5" s="3">
        <v>3.76</v>
      </c>
      <c r="E5">
        <f>Table4[[#This Row],[Sharpie Ratio]]*3.75/4.5</f>
        <v>3.1333333333333333</v>
      </c>
    </row>
    <row r="6" spans="1:8" x14ac:dyDescent="0.25">
      <c r="A6" s="2" t="s">
        <v>2</v>
      </c>
      <c r="B6" s="2">
        <f>16.19/100</f>
        <v>0.16190000000000002</v>
      </c>
      <c r="C6" s="2">
        <v>3.77</v>
      </c>
      <c r="E6">
        <f>Table4[[#This Row],[Sharpie Ratio]]*3.75/4.5</f>
        <v>3.1416666666666666</v>
      </c>
    </row>
    <row r="7" spans="1:8" x14ac:dyDescent="0.25">
      <c r="A7" s="5" t="s">
        <v>3</v>
      </c>
      <c r="B7" s="5">
        <f>18.35/100</f>
        <v>0.18350000000000002</v>
      </c>
      <c r="C7" s="5">
        <v>3.68</v>
      </c>
      <c r="E7">
        <f>Table4[[#This Row],[Sharpie Ratio]]*3.75/4.5</f>
        <v>3.0666666666666669</v>
      </c>
    </row>
    <row r="12" spans="1:8" x14ac:dyDescent="0.25">
      <c r="B12" s="1" t="s">
        <v>11</v>
      </c>
    </row>
    <row r="13" spans="1:8" x14ac:dyDescent="0.25">
      <c r="B13" t="s">
        <v>1</v>
      </c>
      <c r="C13" t="s">
        <v>4</v>
      </c>
      <c r="D13" t="s">
        <v>2</v>
      </c>
      <c r="E13" t="s">
        <v>3</v>
      </c>
      <c r="F13" t="s">
        <v>7</v>
      </c>
      <c r="G13" t="s">
        <v>8</v>
      </c>
      <c r="H13" t="s">
        <v>12</v>
      </c>
    </row>
    <row r="14" spans="1:8" ht="30" x14ac:dyDescent="0.25">
      <c r="A14" s="6" t="s">
        <v>10</v>
      </c>
      <c r="B14">
        <v>4.03</v>
      </c>
      <c r="C14">
        <v>3.58</v>
      </c>
      <c r="D14">
        <v>3.77</v>
      </c>
      <c r="E14">
        <v>3.68</v>
      </c>
      <c r="F14">
        <v>3.56</v>
      </c>
      <c r="G14">
        <v>3.76</v>
      </c>
      <c r="H14">
        <v>22.380000000000003</v>
      </c>
    </row>
    <row r="28" spans="1:8" x14ac:dyDescent="0.25">
      <c r="B28" s="1" t="s">
        <v>11</v>
      </c>
    </row>
    <row r="29" spans="1:8" x14ac:dyDescent="0.25">
      <c r="B29" t="s">
        <v>1</v>
      </c>
      <c r="C29" t="s">
        <v>4</v>
      </c>
      <c r="D29" t="s">
        <v>2</v>
      </c>
      <c r="E29" t="s">
        <v>3</v>
      </c>
      <c r="F29" t="s">
        <v>7</v>
      </c>
      <c r="G29" t="s">
        <v>8</v>
      </c>
      <c r="H29" t="s">
        <v>12</v>
      </c>
    </row>
    <row r="30" spans="1:8" ht="45" x14ac:dyDescent="0.25">
      <c r="A30" s="6" t="s">
        <v>14</v>
      </c>
      <c r="B30">
        <v>0.19920000000000002</v>
      </c>
      <c r="C30">
        <v>0.1605</v>
      </c>
      <c r="D30">
        <v>0.16190000000000002</v>
      </c>
      <c r="E30">
        <v>0.18350000000000002</v>
      </c>
      <c r="F30">
        <v>0.1605</v>
      </c>
      <c r="G30">
        <v>0.16239999999999999</v>
      </c>
      <c r="H30">
        <v>1.028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Sharpie</vt:lpstr>
      <vt:lpstr>Sharpie1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Hung (nguye3hv)</dc:creator>
  <cp:lastModifiedBy>Nguyen, Hung (nguye3hv)</cp:lastModifiedBy>
  <dcterms:created xsi:type="dcterms:W3CDTF">2025-12-05T22:01:00Z</dcterms:created>
  <dcterms:modified xsi:type="dcterms:W3CDTF">2025-12-07T21:12:40Z</dcterms:modified>
</cp:coreProperties>
</file>